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03 VERGİ İNCELEME RAPORU" sheetId="2" state="visible" r:id="rId4"/>
    <sheet name="05 TAKDİRİ SEVK İŞLEMLERİ" sheetId="3" state="visible" r:id="rId5"/>
    <sheet name="06 VERGİ CEZA İHBARNAMELERİ" sheetId="4" state="visible" r:id="rId6"/>
    <sheet name="08 SÜREKSİZ YÜKÜMLÜLÜKLER" sheetId="5" state="visible" r:id="rId7"/>
    <sheet name="09 KANUNİ SÜRESİNDEN SONRA VERİ" sheetId="6" state="visible" r:id="rId8"/>
  </sheets>
  <definedNames>
    <definedName function="false" hidden="true" localSheetId="1" name="_xlnm._FilterDatabase" vbProcedure="false">'03 VERGİ İNCELEME RAPORU'!$C$1:$U$1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<sst xmlns="http://schemas.openxmlformats.org/spreadsheetml/2006/main" count="9058" uniqueCount="2260">
  <si>
    <t xml:space="preserve">Sorumlu bazında iş sayısı (VKN aralığına göre; Vergilendirme bölümü aralıkları — kaynak: kullanıcının aracındaki tablo)</t>
  </si>
  <si>
    <t xml:space="preserve">SORUMLU</t>
  </si>
  <si>
    <t xml:space="preserve">03.01</t>
  </si>
  <si>
    <t xml:space="preserve">03.02</t>
  </si>
  <si>
    <t xml:space="preserve">03.03</t>
  </si>
  <si>
    <t xml:space="preserve">03.04</t>
  </si>
  <si>
    <t xml:space="preserve">03.05</t>
  </si>
  <si>
    <t xml:space="preserve">03.06</t>
  </si>
  <si>
    <t xml:space="preserve">03.08</t>
  </si>
  <si>
    <t xml:space="preserve">05.01</t>
  </si>
  <si>
    <t xml:space="preserve">05.02</t>
  </si>
  <si>
    <t xml:space="preserve">05.03</t>
  </si>
  <si>
    <t xml:space="preserve">05.04</t>
  </si>
  <si>
    <t xml:space="preserve">05.05</t>
  </si>
  <si>
    <t xml:space="preserve">06.01</t>
  </si>
  <si>
    <t xml:space="preserve">06.02</t>
  </si>
  <si>
    <t xml:space="preserve">06.03</t>
  </si>
  <si>
    <t xml:space="preserve">06.04</t>
  </si>
  <si>
    <t xml:space="preserve">06.05</t>
  </si>
  <si>
    <t xml:space="preserve">08.04</t>
  </si>
  <si>
    <t xml:space="preserve">09.01</t>
  </si>
  <si>
    <t xml:space="preserve">09.02</t>
  </si>
  <si>
    <t xml:space="preserve">09.03</t>
  </si>
  <si>
    <t xml:space="preserve">09.04</t>
  </si>
  <si>
    <t xml:space="preserve">09.05</t>
  </si>
  <si>
    <t xml:space="preserve">TOPLAM</t>
  </si>
  <si>
    <t xml:space="preserve">Nalan ŞERİF</t>
  </si>
  <si>
    <t xml:space="preserve">Özge TARIM</t>
  </si>
  <si>
    <t xml:space="preserve">Halim YARAR</t>
  </si>
  <si>
    <t xml:space="preserve">Çağatay TÜRKOĞLU</t>
  </si>
  <si>
    <t xml:space="preserve">Ahmet TARANCI</t>
  </si>
  <si>
    <t xml:space="preserve">Resul MEYDAN</t>
  </si>
  <si>
    <t xml:space="preserve">Nuran KARAKAYA</t>
  </si>
  <si>
    <t xml:space="preserve">Nur Berru YENİÇERİ</t>
  </si>
  <si>
    <t xml:space="preserve">Canan YILDIZOĞLU</t>
  </si>
  <si>
    <t xml:space="preserve">Ali BEŞTAŞ</t>
  </si>
  <si>
    <t xml:space="preserve">Hikmet ŞAHİN</t>
  </si>
  <si>
    <t xml:space="preserve">Ömer DÜNDAR</t>
  </si>
  <si>
    <t xml:space="preserve">VKN YOK</t>
  </si>
  <si>
    <t xml:space="preserve">ARALIK DIŞI</t>
  </si>
  <si>
    <t xml:space="preserve">NOTLAR:</t>
  </si>
  <si>
    <t xml:space="preserve">• Aralıklar fotoğraftaki 'Vergilendirme' bölümü tablosundan alındı. Eşleşme sırayla ilk uyan aralığa göre yapıldı.</t>
  </si>
  <si>
    <t xml:space="preserve">• DİKKAT: Nuran KARAKAYA (4980000000–5959999999) ile Nur Berru YENİÇERİ (5360000000–6399999999) aralıkları 5360000000–5959999999 arasında ÇAKIŞIYOR; bu VKN'ler Nuran KARAKAYA'ya yazıldı. 5360 muhtemelen 5960 olmalı — araçta düzeltin.</t>
  </si>
  <si>
    <t xml:space="preserve">• Canan YILDIZOĞLU'nun bitişi 7333333333; 7333333334–7339999999 arası kimseye atanmamış (ARALIK DIŞI).</t>
  </si>
  <si>
    <t xml:space="preserve">• 'VKN YOK': satırda VKN alanı boş. Formüller COUNTIFS ile canlıdır; B sütunundaki sorumluyu elle değiştirirseniz özet güncellenir.</t>
  </si>
  <si>
    <t xml:space="preserve">AÇIKLAMA</t>
  </si>
  <si>
    <t xml:space="preserve">RAPOR KAYIT DEFTERİ NUMARASI</t>
  </si>
  <si>
    <t xml:space="preserve">İHBARNAME FİŞ NUMARASI</t>
  </si>
  <si>
    <t xml:space="preserve">RAPOR TARİHİ</t>
  </si>
  <si>
    <t xml:space="preserve">RAPOR SAYISI</t>
  </si>
  <si>
    <t xml:space="preserve">RAPOR TÜRÜ</t>
  </si>
  <si>
    <t xml:space="preserve">VERGİ KİMLİK NUMARASI</t>
  </si>
  <si>
    <t xml:space="preserve">UNVAN</t>
  </si>
  <si>
    <t xml:space="preserve">VERGİ KODU</t>
  </si>
  <si>
    <t xml:space="preserve">DÖNEM</t>
  </si>
  <si>
    <t xml:space="preserve">YAZI TARİHİ</t>
  </si>
  <si>
    <t xml:space="preserve">YAZI SAYISI</t>
  </si>
  <si>
    <t xml:space="preserve">VERGİ DAİRESİ KODU</t>
  </si>
  <si>
    <t xml:space="preserve">VERGİ DAİRESİ ADI</t>
  </si>
  <si>
    <t xml:space="preserve">İHBARNAME TARH EDİLEN TUTAR (USULSÜZLÜK)</t>
  </si>
  <si>
    <t xml:space="preserve">RAPOR TARH ÖNERİLEN TUTAR (USULSÜZLÜK)</t>
  </si>
  <si>
    <t xml:space="preserve">USULSÜZLÜK FARK</t>
  </si>
  <si>
    <t xml:space="preserve">İHBARNAME TARH EDİLEN TUTAR (ÖZEL USULSÜZLÜK)</t>
  </si>
  <si>
    <t xml:space="preserve">RAPOR TARH ÖNERİLEN TUTAR(ÖZEL USULSÜZLÜK)</t>
  </si>
  <si>
    <t xml:space="preserve">ÖZEL USULSÜZLÜK FARK</t>
  </si>
  <si>
    <t xml:space="preserve">03.08 - Vergi İnceleme Raporlarında Yer alan Usulsüzlük/Özel Usulsüzlük Tutarları ile İhbarnamelerde Yer Alan Usulsüzlük/Özel Usulsüzlük Tutarları Arasında Fark Olanlar Listesi</t>
  </si>
  <si>
    <t xml:space="preserve">2023081650QAF0000002</t>
  </si>
  <si>
    <t xml:space="preserve">2023090113QAE0000011</t>
  </si>
  <si>
    <t xml:space="preserve">02/08/2023</t>
  </si>
  <si>
    <t xml:space="preserve">2023-[2013-3-32]/14</t>
  </si>
  <si>
    <t xml:space="preserve">VİR</t>
  </si>
  <si>
    <t xml:space="preserve">4850713184</t>
  </si>
  <si>
    <t xml:space="preserve">KACHOURA TEKSTİL KONFEKSİYON İTHALAT İHRACAT SANAYİİ VE TİCARET LİMİTED ŞİRKETİ</t>
  </si>
  <si>
    <t xml:space="preserve">0015</t>
  </si>
  <si>
    <t xml:space="preserve">202112202112</t>
  </si>
  <si>
    <t xml:space="preserve">15/08/2023</t>
  </si>
  <si>
    <t xml:space="preserve">51781582-663.05[32603]-40188</t>
  </si>
  <si>
    <t xml:space="preserve">016252</t>
  </si>
  <si>
    <t xml:space="preserve">YILDIRIM VERGİ DAİRESİ</t>
  </si>
  <si>
    <t xml:space="preserve">RAPOR KAYIT DEFTER NUMARASI</t>
  </si>
  <si>
    <t xml:space="preserve">TOU DURUMU</t>
  </si>
  <si>
    <t xml:space="preserve">03.02 - Rapor Kayıt Defterine Kaydedildiği Halde İhbarname Düzenlenmeyen Vergi İnceleme Raporları Listesi</t>
  </si>
  <si>
    <t xml:space="preserve">2025051650QAE0000003</t>
  </si>
  <si>
    <t xml:space="preserve">3341015383</t>
  </si>
  <si>
    <t xml:space="preserve">EMS ÖRME KUMAŞ DOKUMA TEKSTİL SANAYİ VE TİCARET LİMİTED ŞİRKETİ</t>
  </si>
  <si>
    <t xml:space="preserve">3080</t>
  </si>
  <si>
    <t xml:space="preserve">202105202105</t>
  </si>
  <si>
    <t xml:space="preserve">05/05/2025</t>
  </si>
  <si>
    <t xml:space="preserve">2025-[2014-3-703]/12</t>
  </si>
  <si>
    <t xml:space="preserve">Yok</t>
  </si>
  <si>
    <t xml:space="preserve">202106202106</t>
  </si>
  <si>
    <t xml:space="preserve">İHBARNAME DÜZENLENME TARİHİ</t>
  </si>
  <si>
    <t xml:space="preserve">İHBARNAME DURUMU</t>
  </si>
  <si>
    <t xml:space="preserve">DAYANAK NUMARASI</t>
  </si>
  <si>
    <t xml:space="preserve">DAYANAK TÜRÜ AÇIKLAMASI</t>
  </si>
  <si>
    <t xml:space="preserve">03.03 - Vergi İnceleme Raporlarına İstinaden Düzenlenen İhbarnamelerden Tarh Defterinde Geçici İhbarname Olarak Bekleyenlerin Listesi</t>
  </si>
  <si>
    <t xml:space="preserve">2026082613QAJ0000004</t>
  </si>
  <si>
    <t xml:space="preserve">26/08/2026</t>
  </si>
  <si>
    <t xml:space="preserve">Geçici</t>
  </si>
  <si>
    <t xml:space="preserve">9390387080</t>
  </si>
  <si>
    <t xml:space="preserve">AHMET YAŞA</t>
  </si>
  <si>
    <t xml:space="preserve">202307202307</t>
  </si>
  <si>
    <t xml:space="preserve">2026082650QAK0000001</t>
  </si>
  <si>
    <t xml:space="preserve">İnceleme Raporu</t>
  </si>
  <si>
    <t xml:space="preserve">2026082613QAJ0000006</t>
  </si>
  <si>
    <t xml:space="preserve">202309202309</t>
  </si>
  <si>
    <t xml:space="preserve">2026082613QAJ0000010</t>
  </si>
  <si>
    <t xml:space="preserve">0001</t>
  </si>
  <si>
    <t xml:space="preserve">202301202312</t>
  </si>
  <si>
    <t xml:space="preserve">2026082650QAK0000002</t>
  </si>
  <si>
    <t xml:space="preserve">2026082613QAJ0000002</t>
  </si>
  <si>
    <t xml:space="preserve">202305202305</t>
  </si>
  <si>
    <t xml:space="preserve">2026082613QAJ0000007</t>
  </si>
  <si>
    <t xml:space="preserve">202310202310</t>
  </si>
  <si>
    <t xml:space="preserve">2026082613QAJ0000011</t>
  </si>
  <si>
    <t xml:space="preserve">0032</t>
  </si>
  <si>
    <t xml:space="preserve">202304202306</t>
  </si>
  <si>
    <t xml:space="preserve">2026082650QAK0000003</t>
  </si>
  <si>
    <t xml:space="preserve">2026082613QAJ0000005</t>
  </si>
  <si>
    <t xml:space="preserve">202308202308</t>
  </si>
  <si>
    <t xml:space="preserve">2026082613QAJ0000013</t>
  </si>
  <si>
    <t xml:space="preserve">202405202405</t>
  </si>
  <si>
    <t xml:space="preserve">2026082650QAK0000004</t>
  </si>
  <si>
    <t xml:space="preserve">2026082613QAJ0000003</t>
  </si>
  <si>
    <t xml:space="preserve">202306202306</t>
  </si>
  <si>
    <t xml:space="preserve">2026082613QAJ0000009</t>
  </si>
  <si>
    <t xml:space="preserve">202312202312</t>
  </si>
  <si>
    <t xml:space="preserve">2026082613QAJ0000001</t>
  </si>
  <si>
    <t xml:space="preserve">202304202304</t>
  </si>
  <si>
    <t xml:space="preserve">2026082613QAJ0000014</t>
  </si>
  <si>
    <t xml:space="preserve">202408202408</t>
  </si>
  <si>
    <t xml:space="preserve">2026082613QAJ0000012</t>
  </si>
  <si>
    <t xml:space="preserve">202307202309</t>
  </si>
  <si>
    <t xml:space="preserve">2026082613QAJ0000008</t>
  </si>
  <si>
    <t xml:space="preserve">202311202311</t>
  </si>
  <si>
    <t xml:space="preserve">2026081413QAC0000003</t>
  </si>
  <si>
    <t xml:space="preserve">14/08/2026</t>
  </si>
  <si>
    <t xml:space="preserve">2051210593</t>
  </si>
  <si>
    <t xml:space="preserve">CEMRESU TEKSTİL SANAYİ VE TİCARET LİMİTED ŞİRKETİ</t>
  </si>
  <si>
    <t xml:space="preserve">202406202406</t>
  </si>
  <si>
    <t xml:space="preserve">2026072950QAD0000006</t>
  </si>
  <si>
    <t xml:space="preserve">2026081413QAC0000005</t>
  </si>
  <si>
    <t xml:space="preserve">0033</t>
  </si>
  <si>
    <t xml:space="preserve">202404202406</t>
  </si>
  <si>
    <t xml:space="preserve">2026072950QAD0000008</t>
  </si>
  <si>
    <t xml:space="preserve">2026081713QAC0000005</t>
  </si>
  <si>
    <t xml:space="preserve">17/08/2026</t>
  </si>
  <si>
    <t xml:space="preserve">2026072950QAD0000005</t>
  </si>
  <si>
    <t xml:space="preserve">2026081413QAC0000004</t>
  </si>
  <si>
    <t xml:space="preserve">202401202403</t>
  </si>
  <si>
    <t xml:space="preserve">2026081713QAC0000001</t>
  </si>
  <si>
    <t xml:space="preserve">202404202404</t>
  </si>
  <si>
    <t xml:space="preserve">2026081413QAC0000002</t>
  </si>
  <si>
    <t xml:space="preserve">2026081713QAC0000003</t>
  </si>
  <si>
    <t xml:space="preserve">202401202401</t>
  </si>
  <si>
    <t xml:space="preserve">2026081713QAC0000002</t>
  </si>
  <si>
    <t xml:space="preserve">2026090113QAA0000002</t>
  </si>
  <si>
    <t xml:space="preserve">01/09/2026</t>
  </si>
  <si>
    <t xml:space="preserve">0691192117</t>
  </si>
  <si>
    <t xml:space="preserve">ANALİZ GROUP METAL ÇELİK SANAYİ VE TİCARET LİMİTED ŞİRKETİ</t>
  </si>
  <si>
    <t xml:space="preserve">2026090150QAB0000001</t>
  </si>
  <si>
    <t xml:space="preserve">2026082113QAA0000048</t>
  </si>
  <si>
    <t xml:space="preserve">21/08/2026</t>
  </si>
  <si>
    <t xml:space="preserve">202104202106</t>
  </si>
  <si>
    <t xml:space="preserve">2026082150QAB0000002</t>
  </si>
  <si>
    <t xml:space="preserve">2026090113QAA0000003</t>
  </si>
  <si>
    <t xml:space="preserve">202108202108</t>
  </si>
  <si>
    <t xml:space="preserve">2026090113QAA0000004</t>
  </si>
  <si>
    <t xml:space="preserve">202109202109</t>
  </si>
  <si>
    <t xml:space="preserve">2026090113QAA0000001</t>
  </si>
  <si>
    <t xml:space="preserve">202104202104</t>
  </si>
  <si>
    <t xml:space="preserve">2026082113QAA0000049</t>
  </si>
  <si>
    <t xml:space="preserve">202107202109</t>
  </si>
  <si>
    <t xml:space="preserve">2026082113QAA0000047</t>
  </si>
  <si>
    <t xml:space="preserve">0010</t>
  </si>
  <si>
    <t xml:space="preserve">202101202112</t>
  </si>
  <si>
    <t xml:space="preserve">2026082150QAB0000001</t>
  </si>
  <si>
    <t xml:space="preserve">2026090113QAA0000005</t>
  </si>
  <si>
    <t xml:space="preserve">03.04 - Vergi İnceleme Raporlarına İstinaden Düzenlenen İhbarnamelerden Tebliğ Edilmeyenlerin Listesi</t>
  </si>
  <si>
    <t xml:space="preserve">2026020413QAD0000001</t>
  </si>
  <si>
    <t xml:space="preserve">04/02/2026</t>
  </si>
  <si>
    <t xml:space="preserve">ONAYLANMIŞ</t>
  </si>
  <si>
    <t xml:space="preserve">3301541268</t>
  </si>
  <si>
    <t xml:space="preserve">ABDUL FETTAH EL CASEM</t>
  </si>
  <si>
    <t xml:space="preserve">202201202212</t>
  </si>
  <si>
    <t xml:space="preserve">2026020350QAE0000002</t>
  </si>
  <si>
    <t xml:space="preserve">2026020413QAD0000003</t>
  </si>
  <si>
    <t xml:space="preserve">202201202203</t>
  </si>
  <si>
    <t xml:space="preserve">2026020350QAE0000003</t>
  </si>
  <si>
    <t xml:space="preserve">2026020413QAD0000004</t>
  </si>
  <si>
    <t xml:space="preserve">202204202206</t>
  </si>
  <si>
    <t xml:space="preserve">2026020413QAD0000005</t>
  </si>
  <si>
    <t xml:space="preserve">202207202209</t>
  </si>
  <si>
    <t xml:space="preserve">2026020413QAD0000006</t>
  </si>
  <si>
    <t xml:space="preserve">202202202202</t>
  </si>
  <si>
    <t xml:space="preserve">2026020350QAE0000004</t>
  </si>
  <si>
    <t xml:space="preserve">2026020413QAD0000007</t>
  </si>
  <si>
    <t xml:space="preserve">202203202203</t>
  </si>
  <si>
    <t xml:space="preserve">2026020413QAD0000008</t>
  </si>
  <si>
    <t xml:space="preserve">202204202204</t>
  </si>
  <si>
    <t xml:space="preserve">2026020413QAD0000009</t>
  </si>
  <si>
    <t xml:space="preserve">202205202205</t>
  </si>
  <si>
    <t xml:space="preserve">2026020413QAD0000010</t>
  </si>
  <si>
    <t xml:space="preserve">202206202206</t>
  </si>
  <si>
    <t xml:space="preserve">2026020413QAD0000011</t>
  </si>
  <si>
    <t xml:space="preserve">202207202207</t>
  </si>
  <si>
    <t xml:space="preserve">2026020413QAD0000012</t>
  </si>
  <si>
    <t xml:space="preserve">202208202208</t>
  </si>
  <si>
    <t xml:space="preserve">2026020413QAD0000013</t>
  </si>
  <si>
    <t xml:space="preserve">202209202209</t>
  </si>
  <si>
    <t xml:space="preserve">2026020413QAD0000014</t>
  </si>
  <si>
    <t xml:space="preserve">202210202210</t>
  </si>
  <si>
    <t xml:space="preserve">2026020413QAD0000015</t>
  </si>
  <si>
    <t xml:space="preserve">202211202211</t>
  </si>
  <si>
    <t xml:space="preserve">2026020413QAD0000016</t>
  </si>
  <si>
    <t xml:space="preserve">202212202212</t>
  </si>
  <si>
    <t xml:space="preserve">2026020413QAD0000017</t>
  </si>
  <si>
    <t xml:space="preserve">2026020350QAE0000005</t>
  </si>
  <si>
    <t xml:space="preserve">2026020413QAD0000019</t>
  </si>
  <si>
    <t xml:space="preserve">202301202303</t>
  </si>
  <si>
    <t xml:space="preserve">2026020350QAE0000006</t>
  </si>
  <si>
    <t xml:space="preserve">2026020413QAD0000020</t>
  </si>
  <si>
    <t xml:space="preserve">2026020413QAD0000021</t>
  </si>
  <si>
    <t xml:space="preserve">2026020413QAD0000022</t>
  </si>
  <si>
    <t xml:space="preserve">202303202303</t>
  </si>
  <si>
    <t xml:space="preserve">2026020350QAE0000007</t>
  </si>
  <si>
    <t xml:space="preserve">2026020413QAD0000023</t>
  </si>
  <si>
    <t xml:space="preserve">2026020413QAD0000024</t>
  </si>
  <si>
    <t xml:space="preserve">2026020413QAD0000025</t>
  </si>
  <si>
    <t xml:space="preserve">2026020413QAD0000026</t>
  </si>
  <si>
    <t xml:space="preserve">2026020413QAD0000027</t>
  </si>
  <si>
    <t xml:space="preserve">2026020413QAD0000028</t>
  </si>
  <si>
    <t xml:space="preserve">2026081813QAH0000013</t>
  </si>
  <si>
    <t xml:space="preserve">18/08/2026</t>
  </si>
  <si>
    <t xml:space="preserve">7730699221</t>
  </si>
  <si>
    <t xml:space="preserve">İFLAS HAL.SOLE KİDS TEKSTİL SANAYİ VE TİCARET LİMİTED ŞİRKETİ</t>
  </si>
  <si>
    <t xml:space="preserve">2026081750QAI0000001</t>
  </si>
  <si>
    <t xml:space="preserve">TEBLİĞ TARİHİ</t>
  </si>
  <si>
    <t xml:space="preserve">03.05 - Vergi İnceleme Raporlarına İstinaden Düzenlenmiş İhbarnamelerden Tebliğ Edilmesine Rağmen Tahakkuku Verilmeyenlerin Listesi</t>
  </si>
  <si>
    <t xml:space="preserve">2026070313QAE0000019</t>
  </si>
  <si>
    <t xml:space="preserve">03/07/2026</t>
  </si>
  <si>
    <t xml:space="preserve">TEBLIĞ EDILMIŞ</t>
  </si>
  <si>
    <t xml:space="preserve">12/07/2026</t>
  </si>
  <si>
    <t xml:space="preserve">4621037507</t>
  </si>
  <si>
    <t xml:space="preserve">HFK YÜZEY İŞLEM KİMYASALLARI TEKSTİL SANAYİ TİCARET LİMİTED ŞİRKETİ</t>
  </si>
  <si>
    <t xml:space="preserve">202501202512</t>
  </si>
  <si>
    <t xml:space="preserve">2026070313QAE0000020</t>
  </si>
  <si>
    <t xml:space="preserve">202501202503</t>
  </si>
  <si>
    <t xml:space="preserve">2026070313QAE0000021</t>
  </si>
  <si>
    <t xml:space="preserve">202501202501</t>
  </si>
  <si>
    <t xml:space="preserve">2026041513QAF0000001</t>
  </si>
  <si>
    <t xml:space="preserve">15/04/2026</t>
  </si>
  <si>
    <t xml:space="preserve">20/05/2026</t>
  </si>
  <si>
    <t xml:space="preserve">5341609401</t>
  </si>
  <si>
    <t xml:space="preserve">ŞEVVAL KAYA</t>
  </si>
  <si>
    <t xml:space="preserve">202409202409</t>
  </si>
  <si>
    <t xml:space="preserve">2026041513QAF0000002</t>
  </si>
  <si>
    <t xml:space="preserve">202410202410</t>
  </si>
  <si>
    <t xml:space="preserve">2026041513QAF0000003</t>
  </si>
  <si>
    <t xml:space="preserve">202411202411</t>
  </si>
  <si>
    <t xml:space="preserve">2026041513QAF0000004</t>
  </si>
  <si>
    <t xml:space="preserve">202412202412</t>
  </si>
  <si>
    <t xml:space="preserve">2026041513QAF0000005</t>
  </si>
  <si>
    <t xml:space="preserve">202507202507</t>
  </si>
  <si>
    <t xml:space="preserve">2026041513QAF0000006</t>
  </si>
  <si>
    <t xml:space="preserve">202508202508</t>
  </si>
  <si>
    <t xml:space="preserve">2026041513QAF0000007</t>
  </si>
  <si>
    <t xml:space="preserve">202509202509</t>
  </si>
  <si>
    <t xml:space="preserve">2026041513QAF0000008</t>
  </si>
  <si>
    <t xml:space="preserve">202510202510</t>
  </si>
  <si>
    <t xml:space="preserve">2026041513QAF0000009</t>
  </si>
  <si>
    <t xml:space="preserve">202511202511</t>
  </si>
  <si>
    <t xml:space="preserve">2026050513QAI0000001</t>
  </si>
  <si>
    <t xml:space="preserve">05/05/2026</t>
  </si>
  <si>
    <t xml:space="preserve">06/07/2026</t>
  </si>
  <si>
    <t xml:space="preserve">8470499862</t>
  </si>
  <si>
    <t xml:space="preserve">TASF.HAL.TOKDEMİROĞULLARI TEKSTİL OTOMOTİV SANAYİ VE TİCARET LİMİTED ŞİRKETİ</t>
  </si>
  <si>
    <t xml:space="preserve">202401202412</t>
  </si>
  <si>
    <t xml:space="preserve">2026050513QAI0000002</t>
  </si>
  <si>
    <t xml:space="preserve">202407202409</t>
  </si>
  <si>
    <t xml:space="preserve">2026050513QAI0000004</t>
  </si>
  <si>
    <t xml:space="preserve">2026050513QAI0000005</t>
  </si>
  <si>
    <t xml:space="preserve">2026050513QAI0000006</t>
  </si>
  <si>
    <t xml:space="preserve">2026050513QAI0000007</t>
  </si>
  <si>
    <t xml:space="preserve">2026050513QAI0000008</t>
  </si>
  <si>
    <t xml:space="preserve">2026050513QAI0000009</t>
  </si>
  <si>
    <t xml:space="preserve">2026050513QAI0000011</t>
  </si>
  <si>
    <t xml:space="preserve">202503202503</t>
  </si>
  <si>
    <t xml:space="preserve">2026051113QAE0000006</t>
  </si>
  <si>
    <t xml:space="preserve">11/05/2026</t>
  </si>
  <si>
    <t xml:space="preserve">4840842994</t>
  </si>
  <si>
    <t xml:space="preserve">NORTHMECH İNŞAAT SANAYİ VE TİCARET LİMİTED ŞİRKETİ</t>
  </si>
  <si>
    <t xml:space="preserve">2026051113QAE0000007</t>
  </si>
  <si>
    <t xml:space="preserve">2026051413QAD0000006</t>
  </si>
  <si>
    <t xml:space="preserve">14/05/2026</t>
  </si>
  <si>
    <t xml:space="preserve">3801296298</t>
  </si>
  <si>
    <t xml:space="preserve">ESSE 16 GIDA TİCARET LİMİTED ŞİRKETİ</t>
  </si>
  <si>
    <t xml:space="preserve">202403202403</t>
  </si>
  <si>
    <t xml:space="preserve">2026051413QAD0000007</t>
  </si>
  <si>
    <t xml:space="preserve">2026051413QAD0000008</t>
  </si>
  <si>
    <t xml:space="preserve">2026051413QAD0000009</t>
  </si>
  <si>
    <t xml:space="preserve">2026051413QAD0000010</t>
  </si>
  <si>
    <t xml:space="preserve">202407202407</t>
  </si>
  <si>
    <t xml:space="preserve">2026051813QAE0000005</t>
  </si>
  <si>
    <t xml:space="preserve">18/05/2026</t>
  </si>
  <si>
    <t xml:space="preserve">23/05/2026</t>
  </si>
  <si>
    <t xml:space="preserve">4010589760</t>
  </si>
  <si>
    <t xml:space="preserve">GÖKDEMİR AHŞAP ÇATI İNŞAAT TAŞIMACILIK SANAYİ VE TİCARET LİMİTED ŞİRKETİ</t>
  </si>
  <si>
    <t xml:space="preserve">2026051813QAE0000006</t>
  </si>
  <si>
    <t xml:space="preserve">202107202107</t>
  </si>
  <si>
    <t xml:space="preserve">2026051813QAE0000007</t>
  </si>
  <si>
    <t xml:space="preserve">2026051813QAE0000008</t>
  </si>
  <si>
    <t xml:space="preserve">202110202110</t>
  </si>
  <si>
    <t xml:space="preserve">2026051813QAE0000009</t>
  </si>
  <si>
    <t xml:space="preserve">202111202111</t>
  </si>
  <si>
    <t xml:space="preserve">2026051813QAE0000010</t>
  </si>
  <si>
    <t xml:space="preserve">2026052013QAE0000004</t>
  </si>
  <si>
    <t xml:space="preserve">26/05/2026</t>
  </si>
  <si>
    <t xml:space="preserve">4560529310</t>
  </si>
  <si>
    <t xml:space="preserve">HAMET TARIM HAYVANCILIK SAĞLIK GIDA TEKSTİL İNŞAAT OTOMOTİV İTHALAT İHRACAT PAZ.SAN.A.Ş.</t>
  </si>
  <si>
    <t xml:space="preserve">2026060813QAH0000009</t>
  </si>
  <si>
    <t xml:space="preserve">08/06/2026</t>
  </si>
  <si>
    <t xml:space="preserve">15/06/2026</t>
  </si>
  <si>
    <t xml:space="preserve">7591042645</t>
  </si>
  <si>
    <t xml:space="preserve">SEHER ALÜMİNYUM SANAYİ VE TİCARET ANONİM ŞİRKETİ</t>
  </si>
  <si>
    <t xml:space="preserve">2026060813QAH0000010</t>
  </si>
  <si>
    <t xml:space="preserve">2026060913QAD0000001</t>
  </si>
  <si>
    <t xml:space="preserve">09/06/2026</t>
  </si>
  <si>
    <t xml:space="preserve">3292284984</t>
  </si>
  <si>
    <t xml:space="preserve">EKRAT TEKSTİL SANAYİ TİCARET LİMİTED ŞİRKETİ</t>
  </si>
  <si>
    <t xml:space="preserve">2026060913QAD0000002</t>
  </si>
  <si>
    <t xml:space="preserve">2026060913QAD0000003</t>
  </si>
  <si>
    <t xml:space="preserve">2026060913QAD0000004</t>
  </si>
  <si>
    <t xml:space="preserve">2026060913QAD0000005</t>
  </si>
  <si>
    <t xml:space="preserve">2026060913QAD0000006</t>
  </si>
  <si>
    <t xml:space="preserve">2026060913QAD0000007</t>
  </si>
  <si>
    <t xml:space="preserve">2026060913QAD0000008</t>
  </si>
  <si>
    <t xml:space="preserve">2026060913QAD0000009</t>
  </si>
  <si>
    <t xml:space="preserve">2026060913QAD0000010</t>
  </si>
  <si>
    <t xml:space="preserve">2026060913QAD0000011</t>
  </si>
  <si>
    <t xml:space="preserve">202502202502</t>
  </si>
  <si>
    <t xml:space="preserve">2026060913QAD0000012</t>
  </si>
  <si>
    <t xml:space="preserve">2026060913QAH0000002</t>
  </si>
  <si>
    <t xml:space="preserve">7090245324</t>
  </si>
  <si>
    <t xml:space="preserve">AHMET ÖZTÜRK</t>
  </si>
  <si>
    <t xml:space="preserve">202101202103</t>
  </si>
  <si>
    <t xml:space="preserve">2026060913QAH0000003</t>
  </si>
  <si>
    <t xml:space="preserve">2026060913QAH0000004</t>
  </si>
  <si>
    <t xml:space="preserve">2026060913QAH0000005</t>
  </si>
  <si>
    <t xml:space="preserve">202110202112</t>
  </si>
  <si>
    <t xml:space="preserve">2026060913QAH0000006</t>
  </si>
  <si>
    <t xml:space="preserve">2026060913QAH0000007</t>
  </si>
  <si>
    <t xml:space="preserve">2026061613QAB0000001</t>
  </si>
  <si>
    <t xml:space="preserve">16/06/2026</t>
  </si>
  <si>
    <t xml:space="preserve">21/06/2026</t>
  </si>
  <si>
    <t xml:space="preserve">1710384045</t>
  </si>
  <si>
    <t xml:space="preserve">NEŞE BİLGE</t>
  </si>
  <si>
    <t xml:space="preserve">2026070113QAI0000001</t>
  </si>
  <si>
    <t xml:space="preserve">01/07/2026</t>
  </si>
  <si>
    <t xml:space="preserve">2026070313QAE0000003</t>
  </si>
  <si>
    <t xml:space="preserve">2026070313QAE0000005</t>
  </si>
  <si>
    <t xml:space="preserve">2026070313QAE0000006</t>
  </si>
  <si>
    <t xml:space="preserve">2026070313QAE0000007</t>
  </si>
  <si>
    <t xml:space="preserve">2026070313QAE0000009</t>
  </si>
  <si>
    <t xml:space="preserve">202402202402</t>
  </si>
  <si>
    <t xml:space="preserve">2026070313QAE0000010</t>
  </si>
  <si>
    <t xml:space="preserve">2026070313QAE0000011</t>
  </si>
  <si>
    <t xml:space="preserve">2026070313QAE0000012</t>
  </si>
  <si>
    <t xml:space="preserve">2026070313QAE0000013</t>
  </si>
  <si>
    <t xml:space="preserve">2026070313QAE0000014</t>
  </si>
  <si>
    <t xml:space="preserve">2026070313QAE0000015</t>
  </si>
  <si>
    <t xml:space="preserve">2026070313QAE0000016</t>
  </si>
  <si>
    <t xml:space="preserve">2026070313QAE0000017</t>
  </si>
  <si>
    <t xml:space="preserve">2026070313QAE0000018</t>
  </si>
  <si>
    <t xml:space="preserve">03.01 - Vergi Dairesine Gelen Vergi İnceleme Raporlarından Rapor Kayıt Defterine Kayıt Edilmeyenlerin Listesi</t>
  </si>
  <si>
    <t xml:space="preserve">2026-[2014-1-392]/47</t>
  </si>
  <si>
    <t xml:space="preserve">05/06/2026</t>
  </si>
  <si>
    <t xml:space="preserve">VSR</t>
  </si>
  <si>
    <t xml:space="preserve">2023,2024</t>
  </si>
  <si>
    <t xml:space="preserve">30/07/2026</t>
  </si>
  <si>
    <t xml:space="preserve">51781582-663.05[48569]-50717</t>
  </si>
  <si>
    <t xml:space="preserve">2026-[1997-1-9]/26</t>
  </si>
  <si>
    <t xml:space="preserve">11/08/2026</t>
  </si>
  <si>
    <t xml:space="preserve">VTR-Genel</t>
  </si>
  <si>
    <t xml:space="preserve">4610800700</t>
  </si>
  <si>
    <t xml:space="preserve">ADİL HELVANİ</t>
  </si>
  <si>
    <t xml:space="preserve">2022</t>
  </si>
  <si>
    <t xml:space="preserve">51781582-663.05[55127]-56267</t>
  </si>
  <si>
    <t xml:space="preserve">2026-[2014-3-182]/10</t>
  </si>
  <si>
    <t xml:space="preserve">09/07/2026</t>
  </si>
  <si>
    <t xml:space="preserve">VTR-Kısmen Sahte Belge Düzenleme</t>
  </si>
  <si>
    <t xml:space="preserve">8940386590</t>
  </si>
  <si>
    <t xml:space="preserve">USL DIŞ TİCARET ANONİM ŞİRKETİ</t>
  </si>
  <si>
    <t xml:space="preserve">2021,2022</t>
  </si>
  <si>
    <t xml:space="preserve">51781582-663.05[13287]-50700</t>
  </si>
  <si>
    <t xml:space="preserve">2026-[2014-3-182]/15</t>
  </si>
  <si>
    <t xml:space="preserve">14/07/2026</t>
  </si>
  <si>
    <t xml:space="preserve">ANALIZ GROUP METAL ÇELIK SANAYI VE TICARET LIMITED SIRKETI</t>
  </si>
  <si>
    <t xml:space="preserve">2021/04,05,06,07,08,09,10,11,12</t>
  </si>
  <si>
    <t xml:space="preserve">20/08/2026</t>
  </si>
  <si>
    <t xml:space="preserve">51781582-663.05[38420]-55284</t>
  </si>
  <si>
    <t xml:space="preserve">İHBARNAME TARH EDİLEN TUTAR</t>
  </si>
  <si>
    <t xml:space="preserve">RAPOR TARH ÖNERİLEN TUTAR</t>
  </si>
  <si>
    <t xml:space="preserve">FARK</t>
  </si>
  <si>
    <t xml:space="preserve">03.06 - Vergi İnceleme Raporlarında Yer alan Vergi Tutarları ile İhbarnamelerde Yer Alan Vergi Tutarları Arasında Fark Olanların Listesi</t>
  </si>
  <si>
    <t xml:space="preserve">2026041450QAJ0000002</t>
  </si>
  <si>
    <t xml:space="preserve">2026041413QAI0000004</t>
  </si>
  <si>
    <t xml:space="preserve">24/02/2026</t>
  </si>
  <si>
    <t xml:space="preserve">2026-[2014-1-508]/14</t>
  </si>
  <si>
    <t xml:space="preserve">8620377585</t>
  </si>
  <si>
    <t xml:space="preserve">EMRECAN TUNALI</t>
  </si>
  <si>
    <t xml:space="preserve">02/03/2026</t>
  </si>
  <si>
    <t xml:space="preserve">51781582-663.05[52737]-10506</t>
  </si>
  <si>
    <t xml:space="preserve">TAKDİR KOMİSYONU KARAR NUMARASI</t>
  </si>
  <si>
    <t xml:space="preserve">TAKDİR KOMİSYONU KARAR TARİHİ</t>
  </si>
  <si>
    <t xml:space="preserve">TAKDİR KOMİSYONUNA SEVK NUMARASI</t>
  </si>
  <si>
    <t xml:space="preserve">TAKDİR KOMİSYONUNA SEVK TARİHİ</t>
  </si>
  <si>
    <t xml:space="preserve">AD SOYAD/UNVAN</t>
  </si>
  <si>
    <t xml:space="preserve">VERGİLENDİRME DÖNEMİ</t>
  </si>
  <si>
    <t xml:space="preserve">05.05 - Takdir Komisyonu Kararı Olmasına Rağmen Vergi Ceza İhbarnamesi Düzenlenmeyen Mükellefler Listesi</t>
  </si>
  <si>
    <t xml:space="preserve">627</t>
  </si>
  <si>
    <t xml:space="preserve">28/03/2023</t>
  </si>
  <si>
    <t xml:space="preserve">2023032006Q9k0000008</t>
  </si>
  <si>
    <t xml:space="preserve">20/03/2023</t>
  </si>
  <si>
    <t xml:space="preserve">3850151938</t>
  </si>
  <si>
    <t xml:space="preserve">AYDIN FATURACI</t>
  </si>
  <si>
    <t xml:space="preserve">628</t>
  </si>
  <si>
    <t xml:space="preserve">2023032006Q9k0000009</t>
  </si>
  <si>
    <t xml:space="preserve">3574</t>
  </si>
  <si>
    <t xml:space="preserve">19/12/2022</t>
  </si>
  <si>
    <t xml:space="preserve">2022120506Q9l0000017</t>
  </si>
  <si>
    <t xml:space="preserve">06/12/2022</t>
  </si>
  <si>
    <t xml:space="preserve">4990117663</t>
  </si>
  <si>
    <t xml:space="preserve">OĞUZHAN KAPLAY</t>
  </si>
  <si>
    <t xml:space="preserve">3704</t>
  </si>
  <si>
    <t xml:space="preserve">16/09/2025</t>
  </si>
  <si>
    <t xml:space="preserve">2025032406Q9m0000025</t>
  </si>
  <si>
    <t xml:space="preserve">27/03/2025</t>
  </si>
  <si>
    <t xml:space="preserve">5960525464</t>
  </si>
  <si>
    <t xml:space="preserve">GÜVEN KURTULUŞ</t>
  </si>
  <si>
    <t xml:space="preserve">165</t>
  </si>
  <si>
    <t xml:space="preserve">29/02/2024</t>
  </si>
  <si>
    <t xml:space="preserve">2023112106Q9i0000015</t>
  </si>
  <si>
    <t xml:space="preserve">22/11/2023</t>
  </si>
  <si>
    <t xml:space="preserve">1120867371</t>
  </si>
  <si>
    <t xml:space="preserve">İBRAHİM AYDIN</t>
  </si>
  <si>
    <t xml:space="preserve">4830</t>
  </si>
  <si>
    <t xml:space="preserve">18/12/2025</t>
  </si>
  <si>
    <t xml:space="preserve">2025070306Q9l0000010</t>
  </si>
  <si>
    <t xml:space="preserve">21/07/2025</t>
  </si>
  <si>
    <t xml:space="preserve">4740009677</t>
  </si>
  <si>
    <t xml:space="preserve">İSMAİL HAKKI KURAN KURSU İMAM-HATİP VE İLAHİYAT ÖĞRENCİLERİNE YARDIM DERNEĞİ</t>
  </si>
  <si>
    <t xml:space="preserve">0003</t>
  </si>
  <si>
    <t xml:space="preserve">539</t>
  </si>
  <si>
    <t xml:space="preserve">04/04/2024</t>
  </si>
  <si>
    <t xml:space="preserve">2024031506Q9o0000018</t>
  </si>
  <si>
    <t xml:space="preserve">21/03/2024</t>
  </si>
  <si>
    <t xml:space="preserve">7300715496</t>
  </si>
  <si>
    <t xml:space="preserve">PLAS GERİ DÖNÜŞÜM PLASTİK POLİMER ORMAN ÜRÜNLERİ İNŞAAT İTHALAT İHRACAT İMALAT SAN.VE TİC.LTD.ŞTİ.</t>
  </si>
  <si>
    <t xml:space="preserve">2503</t>
  </si>
  <si>
    <t xml:space="preserve">04/11/2024</t>
  </si>
  <si>
    <t xml:space="preserve">2024092606Q9m0000010</t>
  </si>
  <si>
    <t xml:space="preserve">01/10/2024</t>
  </si>
  <si>
    <t xml:space="preserve">5241293654</t>
  </si>
  <si>
    <t xml:space="preserve">KARDEŞLER COMPANY DIŞ TİCARET LİMİTED ŞİRKETİ</t>
  </si>
  <si>
    <t xml:space="preserve">CEZA TUTARI</t>
  </si>
  <si>
    <t xml:space="preserve">05.04 - Elektronik Ortamda Beyanname Vermesi Gereken Mükelleflerden Takdire Sevk Edildiği Halde Özel Usulsüzlük Cezası Kesilmeyenlerin Listesi</t>
  </si>
  <si>
    <t xml:space="preserve">2022070106Q9q0000021</t>
  </si>
  <si>
    <t xml:space="preserve">02/09/2022</t>
  </si>
  <si>
    <t xml:space="preserve">9040130518</t>
  </si>
  <si>
    <t xml:space="preserve">NİHAT UZUNORMAN</t>
  </si>
  <si>
    <t xml:space="preserve">2022101406Q9o0000069</t>
  </si>
  <si>
    <t xml:space="preserve">18/10/2022</t>
  </si>
  <si>
    <t xml:space="preserve">7410277277</t>
  </si>
  <si>
    <t xml:space="preserve">MUSTAFA SALIK</t>
  </si>
  <si>
    <t xml:space="preserve">202101202101</t>
  </si>
  <si>
    <t xml:space="preserve">2022101406Q9o0000070</t>
  </si>
  <si>
    <t xml:space="preserve">202102202102</t>
  </si>
  <si>
    <t xml:space="preserve">2022101406Q9o0000071</t>
  </si>
  <si>
    <t xml:space="preserve">202103202103</t>
  </si>
  <si>
    <t xml:space="preserve">2022101406Q9o0000072</t>
  </si>
  <si>
    <t xml:space="preserve">2022101406Q9o0000073</t>
  </si>
  <si>
    <t xml:space="preserve">2022101406Q9o0000074</t>
  </si>
  <si>
    <t xml:space="preserve">2022101406Q9o0000075</t>
  </si>
  <si>
    <t xml:space="preserve">2022101406Q9o0000076</t>
  </si>
  <si>
    <t xml:space="preserve">2022101406Q9o0000077</t>
  </si>
  <si>
    <t xml:space="preserve">2022101406Q9o0000078</t>
  </si>
  <si>
    <t xml:space="preserve">2022101406Q9o0000079</t>
  </si>
  <si>
    <t xml:space="preserve">2024022206Q9q0000005</t>
  </si>
  <si>
    <t xml:space="preserve">26/02/2024</t>
  </si>
  <si>
    <t xml:space="preserve">9971349865</t>
  </si>
  <si>
    <t xml:space="preserve">AHMED ZEHDAN</t>
  </si>
  <si>
    <t xml:space="preserve">2024022206Q9q0000008</t>
  </si>
  <si>
    <t xml:space="preserve">2025120806Q9p0000003</t>
  </si>
  <si>
    <t xml:space="preserve">22/12/2025</t>
  </si>
  <si>
    <t xml:space="preserve">8210331453</t>
  </si>
  <si>
    <t xml:space="preserve">AYTUĞ TANRIKULU</t>
  </si>
  <si>
    <t xml:space="preserve">2025120806Q9p0000004</t>
  </si>
  <si>
    <t xml:space="preserve">T.C. KİMLİK NUMARASI</t>
  </si>
  <si>
    <t xml:space="preserve">05.03 - Katma Değer Vergisi Beyannamesini Vermeyen Mükellefler Arasından Takdir Komisyonuna Sevk Edilmeyenlerin Listesi</t>
  </si>
  <si>
    <t xml:space="preserve">1910567473</t>
  </si>
  <si>
    <t xml:space="preserve">BURSA SOSYAL GÜVENLİK İL MÜDÜRLÜĞÜ MİSAFİRHANE İŞLETMESİ.</t>
  </si>
  <si>
    <t xml:space="preserve">1911292067</t>
  </si>
  <si>
    <t xml:space="preserve">BURSA ATLISPOR KULÜBÜ DERNEĞİ İKTİSADİ İŞLETMESİ</t>
  </si>
  <si>
    <t xml:space="preserve">2711220900</t>
  </si>
  <si>
    <t xml:space="preserve">53620466732</t>
  </si>
  <si>
    <t xml:space="preserve">HAYRİYE KARAGÜL</t>
  </si>
  <si>
    <t xml:space="preserve">4780910241</t>
  </si>
  <si>
    <t xml:space="preserve">TASF.HAL.İNG YABANCI DİL AKADEMİK KURSLARI EĞİTİM TİCARET LİMİTED ŞİRKETİ</t>
  </si>
  <si>
    <t xml:space="preserve">7750410574</t>
  </si>
  <si>
    <t xml:space="preserve">BURSA SOSYAL GÜVENLİK KURUMU İL MÜDÜRLÜĞÜ PERSONELİ TABLDOT İŞLETME SERVİSİ</t>
  </si>
  <si>
    <t xml:space="preserve">9720314103</t>
  </si>
  <si>
    <t xml:space="preserve">10660938070</t>
  </si>
  <si>
    <t xml:space="preserve">MEHMET YILMAZ</t>
  </si>
  <si>
    <t xml:space="preserve">8250327209</t>
  </si>
  <si>
    <t xml:space="preserve">TASF.HAL.SINIRLI SORUMLU TASARIM KONUT YAPI KOOPERATİFİ</t>
  </si>
  <si>
    <t xml:space="preserve">3350438379</t>
  </si>
  <si>
    <t xml:space="preserve">ENİSA KUMAŞ İPLİK TEKS.SAN.VE TİC.LTD. ŞTİ.</t>
  </si>
  <si>
    <t xml:space="preserve">5110641809</t>
  </si>
  <si>
    <t xml:space="preserve">KARAGÖZ HACİVAT ENGELLİLER BİLİM KÜLTÜR VE DAYANIŞMA DERNEĞİ İKTİSADİ İŞLETMESİ-1</t>
  </si>
  <si>
    <t xml:space="preserve">5110641817</t>
  </si>
  <si>
    <t xml:space="preserve">KARAGÖZ HACİVAT ENGELLİLER BİLİM KÜLTÜR VE DAYANIŞMA DERNEĞİ İKTİSADİ İŞLETMESİ-2</t>
  </si>
  <si>
    <t xml:space="preserve">5110641825</t>
  </si>
  <si>
    <t xml:space="preserve">KARAGÖZ HACİVAT ENGELLİLER BİLİM KÜLTÜR VE DAYANIŞMA DERNEĞİ İKTİSADİ İŞLETMESİ-3</t>
  </si>
  <si>
    <t xml:space="preserve">4150625173</t>
  </si>
  <si>
    <t xml:space="preserve">32110237908</t>
  </si>
  <si>
    <t xml:space="preserve">AHMET YASİN GÜLAYAN</t>
  </si>
  <si>
    <t xml:space="preserve">4150625204</t>
  </si>
  <si>
    <t xml:space="preserve">32113237844</t>
  </si>
  <si>
    <t xml:space="preserve">SEFA HÜSEYİN GÜLAYAN</t>
  </si>
  <si>
    <t xml:space="preserve">4150625261</t>
  </si>
  <si>
    <t xml:space="preserve">32116237780</t>
  </si>
  <si>
    <t xml:space="preserve">MERVE GÜLŞAH AKSAKAL</t>
  </si>
  <si>
    <t xml:space="preserve">4150625317</t>
  </si>
  <si>
    <t xml:space="preserve">32122237552</t>
  </si>
  <si>
    <t xml:space="preserve">SEMRA GÜLAYAN</t>
  </si>
  <si>
    <t xml:space="preserve">05.02 - Kurumlar Vergisi Beyannamesini Vermeyen Mükellefler Arasından Takdir Komisyonuna Sevk Edilmeyenlerin Listesi</t>
  </si>
  <si>
    <t xml:space="preserve">1780497145</t>
  </si>
  <si>
    <t xml:space="preserve">TASF.HAL.BİRLEŞ TEKSTİL SERVİS TAŞIMACILIĞI TAŞ. SAN. VE TİC. LTD. ŞTİ.</t>
  </si>
  <si>
    <t xml:space="preserve">4540684946</t>
  </si>
  <si>
    <t xml:space="preserve">HABBOUSH GIDA İTHALAT İHRACAT SANAYİ VE TİCARET LİMİTED ŞİRKETİ</t>
  </si>
  <si>
    <t xml:space="preserve">6481253920</t>
  </si>
  <si>
    <t xml:space="preserve">TASF.HAL.ORYX EMLAKÇILIK SANAYİ VE TİCARET LİMİTED ŞİRKETİ</t>
  </si>
  <si>
    <t xml:space="preserve">7341719772</t>
  </si>
  <si>
    <t xml:space="preserve">TASF.HAL. RAHMET ÇOCUK GELİŞİMİ DANIŞMANLIK HİZMETLERİ LİMİTED ŞİRKETİ</t>
  </si>
  <si>
    <t xml:space="preserve">7810652717</t>
  </si>
  <si>
    <t xml:space="preserve">STAR GOLD HAZIR GİYİM VE AKSESUARLARI SANAYİ VE TİCARET LİMİTED ŞİRKETİ</t>
  </si>
  <si>
    <t xml:space="preserve">8820316231</t>
  </si>
  <si>
    <t xml:space="preserve">TÜTMEZ GIDA TEKSTİL OTOMOTİV YEMEK SAN.HAYVANCILIK TARIM ÜRÜNLERİ TURİZM İTH.İHR.SAN.VE TİC.LTD.ŞTİ.</t>
  </si>
  <si>
    <t xml:space="preserve">6320974578</t>
  </si>
  <si>
    <t xml:space="preserve">TASF.HAL. NTC OTOMOTİV İTHALAT İHRACAT SANAYİ VE TİCARET LİMİTED ŞİRKETİ</t>
  </si>
  <si>
    <t xml:space="preserve">05.01 - Gelir Vergisi Beyannamesini Vermeyen Mükellefler Arasından Takdir Komisyonuna Sevk Edilmeyenlerin Listesi</t>
  </si>
  <si>
    <t xml:space="preserve">8670332342</t>
  </si>
  <si>
    <t xml:space="preserve">26726138162</t>
  </si>
  <si>
    <t xml:space="preserve">SERHAT TUNÇAY</t>
  </si>
  <si>
    <t xml:space="preserve">9370058064</t>
  </si>
  <si>
    <t xml:space="preserve">29831012938</t>
  </si>
  <si>
    <t xml:space="preserve">DURSUN ALİ YARADANAKUL</t>
  </si>
  <si>
    <t xml:space="preserve">TAHAKKUK FİŞ NUMARASI</t>
  </si>
  <si>
    <t xml:space="preserve">ANA VERGİ KODU</t>
  </si>
  <si>
    <t xml:space="preserve">TAHAKKUK TOPLAMI</t>
  </si>
  <si>
    <t xml:space="preserve">TAHSİLAT TOPLAMI</t>
  </si>
  <si>
    <t xml:space="preserve">06.04 - Ödenmediği Halde Terkin Edilmeyen Geçici Vergi Tahakkukları Listesi</t>
  </si>
  <si>
    <t xml:space="preserve">1271222714</t>
  </si>
  <si>
    <t xml:space="preserve">B R ÖZTEKİN İNŞAAT OTOMOTİV ORMAN ÜRÜNLERİ LİMİTED ŞİRKETİ</t>
  </si>
  <si>
    <t xml:space="preserve">2026022001QB60000020</t>
  </si>
  <si>
    <t xml:space="preserve">2026022001QB60000021</t>
  </si>
  <si>
    <t xml:space="preserve">2026022001QB60000008</t>
  </si>
  <si>
    <t xml:space="preserve">2026061601QB60000002</t>
  </si>
  <si>
    <t xml:space="preserve">2026061601QB60000003</t>
  </si>
  <si>
    <t xml:space="preserve">2026061601QB60000005</t>
  </si>
  <si>
    <t xml:space="preserve">1781472250</t>
  </si>
  <si>
    <t xml:space="preserve">BİRİNCİKAPI TEKSTİL GIDA TURİZM İNŞAAT SANAYİ TİCARET LİMİTED ŞİRKETİ</t>
  </si>
  <si>
    <t xml:space="preserve">2026031001QB60000003</t>
  </si>
  <si>
    <t xml:space="preserve">1980928184</t>
  </si>
  <si>
    <t xml:space="preserve">CAN GRUP KONFEKSİYON TEKSTİL GIDA İNŞAAT MALZEMELERİ NAKLİYE İTHALAT İHRACAT VE TİCARET LTD.ŞTİ.</t>
  </si>
  <si>
    <t xml:space="preserve">2026070601QB60000011</t>
  </si>
  <si>
    <t xml:space="preserve">2026070601QB60000016</t>
  </si>
  <si>
    <t xml:space="preserve">2260537416</t>
  </si>
  <si>
    <t xml:space="preserve">ESRA AYVAZ</t>
  </si>
  <si>
    <t xml:space="preserve">2026062301QAk0000016</t>
  </si>
  <si>
    <t xml:space="preserve">2580635719</t>
  </si>
  <si>
    <t xml:space="preserve">ZEYNEP ÇOBAN</t>
  </si>
  <si>
    <t xml:space="preserve">2026030901QB70000001</t>
  </si>
  <si>
    <t xml:space="preserve">2780444709</t>
  </si>
  <si>
    <t xml:space="preserve">RIFAT DEMİR</t>
  </si>
  <si>
    <t xml:space="preserve">2026031801QB70000002</t>
  </si>
  <si>
    <t xml:space="preserve">202001202003</t>
  </si>
  <si>
    <t xml:space="preserve">4641685641</t>
  </si>
  <si>
    <t xml:space="preserve">HSC İLETİŞİM VE GIDA SANAYİ VE TİCARET LİMİTED ŞİRKETİ</t>
  </si>
  <si>
    <t xml:space="preserve">2026061501QB90000018</t>
  </si>
  <si>
    <t xml:space="preserve">2026061501QB90000019</t>
  </si>
  <si>
    <t xml:space="preserve">4780948575</t>
  </si>
  <si>
    <t xml:space="preserve">SERPİL İNCİ</t>
  </si>
  <si>
    <t xml:space="preserve">2024051401QAm0000123</t>
  </si>
  <si>
    <t xml:space="preserve">2024090301QAm0000029</t>
  </si>
  <si>
    <t xml:space="preserve">4841233246</t>
  </si>
  <si>
    <t xml:space="preserve">RABİA BURCU KURTULUŞ</t>
  </si>
  <si>
    <t xml:space="preserve">2026090801QAm0000055</t>
  </si>
  <si>
    <t xml:space="preserve">5771008479</t>
  </si>
  <si>
    <t xml:space="preserve">BURAK KORKMAZ</t>
  </si>
  <si>
    <t xml:space="preserve">2024041701QBA0000005</t>
  </si>
  <si>
    <t xml:space="preserve">2024041701QBA0000006</t>
  </si>
  <si>
    <t xml:space="preserve">6481187558</t>
  </si>
  <si>
    <t xml:space="preserve">BARANŞEN ORUN</t>
  </si>
  <si>
    <t xml:space="preserve">2026011901QBB0000003</t>
  </si>
  <si>
    <t xml:space="preserve">202010202012</t>
  </si>
  <si>
    <t xml:space="preserve">2026011901QBB0000004</t>
  </si>
  <si>
    <t xml:space="preserve">6890436555</t>
  </si>
  <si>
    <t xml:space="preserve">NURTEN ÖZER</t>
  </si>
  <si>
    <t xml:space="preserve">2026022001QBB0000025</t>
  </si>
  <si>
    <t xml:space="preserve">6940200461</t>
  </si>
  <si>
    <t xml:space="preserve">MEHMET EMİN ÖZHAN</t>
  </si>
  <si>
    <t xml:space="preserve">2026022001QBB0000027</t>
  </si>
  <si>
    <t xml:space="preserve">2026022001QBB0000029</t>
  </si>
  <si>
    <t xml:space="preserve">202004202006</t>
  </si>
  <si>
    <t xml:space="preserve">2026022001QBB0000030</t>
  </si>
  <si>
    <t xml:space="preserve">202007202009</t>
  </si>
  <si>
    <t xml:space="preserve">2026022001QBB0000031</t>
  </si>
  <si>
    <t xml:space="preserve">7000261073</t>
  </si>
  <si>
    <t xml:space="preserve">İSMİHAN ÖZKELEŞ</t>
  </si>
  <si>
    <t xml:space="preserve">2026022001QBC0000020</t>
  </si>
  <si>
    <t xml:space="preserve">7280313192</t>
  </si>
  <si>
    <t xml:space="preserve">BURAK PEKTOPAL</t>
  </si>
  <si>
    <t xml:space="preserve">2025112601QBC0000001</t>
  </si>
  <si>
    <t xml:space="preserve">7340864888</t>
  </si>
  <si>
    <t xml:space="preserve">PUSULA KARİYER EĞİTİM HİZMETLERİ BASIM VE YAYINCILIK SANAYİ VE TİCARET ANONİM ŞİRKETİ</t>
  </si>
  <si>
    <t xml:space="preserve">2024051701QAp0000002</t>
  </si>
  <si>
    <t xml:space="preserve">7351476169</t>
  </si>
  <si>
    <t xml:space="preserve">ROYALMİX TEKSTİL SANAYİ VE TİCARET LİMİTED ŞİRKETİ</t>
  </si>
  <si>
    <t xml:space="preserve">2026030901QBC0000002</t>
  </si>
  <si>
    <t xml:space="preserve">7500167695</t>
  </si>
  <si>
    <t xml:space="preserve">ERKAN SARITAŞ</t>
  </si>
  <si>
    <t xml:space="preserve">2026011801QBC0000005</t>
  </si>
  <si>
    <t xml:space="preserve">7590065329</t>
  </si>
  <si>
    <t xml:space="preserve">SELÇUK ŞAŞMAZ NAKLİYAT TİCARET LİMİTED ŞİRKETİ</t>
  </si>
  <si>
    <t xml:space="preserve">2026082001QBC0000008</t>
  </si>
  <si>
    <t xml:space="preserve">7651600667</t>
  </si>
  <si>
    <t xml:space="preserve">SEVGİ DOKUMA KUMAŞ MATBAA KAĞITÇILIK DANIŞMANLIK SANAYİ VE TİCARET LİMİTED ŞİRKETİ</t>
  </si>
  <si>
    <t xml:space="preserve">2026072401QBC0000024</t>
  </si>
  <si>
    <t xml:space="preserve">2026072401QBC0000026</t>
  </si>
  <si>
    <t xml:space="preserve">2026072401QBC0000027</t>
  </si>
  <si>
    <t xml:space="preserve">7670351400</t>
  </si>
  <si>
    <t xml:space="preserve">SERHAT SEYHUN</t>
  </si>
  <si>
    <t xml:space="preserve">2026051101QBC0000007</t>
  </si>
  <si>
    <t xml:space="preserve">8040009791</t>
  </si>
  <si>
    <t xml:space="preserve">RECEP ŞENDÖL</t>
  </si>
  <si>
    <t xml:space="preserve">2026082501QBD0000006</t>
  </si>
  <si>
    <t xml:space="preserve">2026082501QBD0000013</t>
  </si>
  <si>
    <t xml:space="preserve">8140302971</t>
  </si>
  <si>
    <t xml:space="preserve">SEDAT ŞİŞKO</t>
  </si>
  <si>
    <t xml:space="preserve">2026090901QBD0000023</t>
  </si>
  <si>
    <t xml:space="preserve">2026090901QBD0000024</t>
  </si>
  <si>
    <t xml:space="preserve">8220350117</t>
  </si>
  <si>
    <t xml:space="preserve">AHMET FURKAN TANSEL</t>
  </si>
  <si>
    <t xml:space="preserve">2026072401QBD0000017</t>
  </si>
  <si>
    <t xml:space="preserve">8510714718</t>
  </si>
  <si>
    <t xml:space="preserve">TACETTİN TOP</t>
  </si>
  <si>
    <t xml:space="preserve">2026022001QBD0000008</t>
  </si>
  <si>
    <t xml:space="preserve">8590463205</t>
  </si>
  <si>
    <t xml:space="preserve">SULTAN KARAKOÇ</t>
  </si>
  <si>
    <t xml:space="preserve">2026051801QBD0000011</t>
  </si>
  <si>
    <t xml:space="preserve">2026051801QBD0000013</t>
  </si>
  <si>
    <t xml:space="preserve">2026051801QBD0000021</t>
  </si>
  <si>
    <t xml:space="preserve">2026052001QBD0000004</t>
  </si>
  <si>
    <t xml:space="preserve">2026052001QBD0000022</t>
  </si>
  <si>
    <t xml:space="preserve">8670481642</t>
  </si>
  <si>
    <t xml:space="preserve">TASF.HAL.TUNER TARIM ÜRÜNLERİ TASARIM GIDA SANAYİ VE TİCARET LİMİTED ŞİRKETİ</t>
  </si>
  <si>
    <t xml:space="preserve">2025121801QBD0000116</t>
  </si>
  <si>
    <t xml:space="preserve">2025121801QBD0000117</t>
  </si>
  <si>
    <t xml:space="preserve">2025121801QBD0000119</t>
  </si>
  <si>
    <t xml:space="preserve">2025121801QBD0000120</t>
  </si>
  <si>
    <t xml:space="preserve">2025121801QBD0000121</t>
  </si>
  <si>
    <t xml:space="preserve">2025121801QBD0000123</t>
  </si>
  <si>
    <t xml:space="preserve">2025121801QBD0000124</t>
  </si>
  <si>
    <t xml:space="preserve">2025121801QBD0000125</t>
  </si>
  <si>
    <t xml:space="preserve">8691011565</t>
  </si>
  <si>
    <t xml:space="preserve">TURCAN ÖRME KUMAŞ SANAYİ TİCARET LİMİTED ŞİRKETİ</t>
  </si>
  <si>
    <t xml:space="preserve">2026030901QBD0000006</t>
  </si>
  <si>
    <t xml:space="preserve">2026030901QBD0000007</t>
  </si>
  <si>
    <t xml:space="preserve">2026030901QBD0000008</t>
  </si>
  <si>
    <t xml:space="preserve">2026030901QBD0000009</t>
  </si>
  <si>
    <t xml:space="preserve">8841286437</t>
  </si>
  <si>
    <t xml:space="preserve">MERYEM UÇAR</t>
  </si>
  <si>
    <t xml:space="preserve">2026022001QBD0000010</t>
  </si>
  <si>
    <t xml:space="preserve">8920473500</t>
  </si>
  <si>
    <t xml:space="preserve">SAKHR OMRAN</t>
  </si>
  <si>
    <t xml:space="preserve">2024051401QAq0000029</t>
  </si>
  <si>
    <t xml:space="preserve">8930566131</t>
  </si>
  <si>
    <t xml:space="preserve">URAS GİYİM SANAYİ VE TİCARET LİMİTED ŞİRKETİ</t>
  </si>
  <si>
    <t xml:space="preserve">2025121001QBD0000030</t>
  </si>
  <si>
    <t xml:space="preserve">2025121001QBD0000033</t>
  </si>
  <si>
    <t xml:space="preserve">2025121001QBD0000034</t>
  </si>
  <si>
    <t xml:space="preserve">2025121001QBD0000035</t>
  </si>
  <si>
    <t xml:space="preserve">2025121001QBD0000036</t>
  </si>
  <si>
    <t xml:space="preserve">2025121001QBD0000037</t>
  </si>
  <si>
    <t xml:space="preserve">2025121001QBD0000038</t>
  </si>
  <si>
    <t xml:space="preserve">9000232185</t>
  </si>
  <si>
    <t xml:space="preserve">ONUR UYSAL</t>
  </si>
  <si>
    <t xml:space="preserve">2026072401QBE0000060</t>
  </si>
  <si>
    <t xml:space="preserve">9280632589</t>
  </si>
  <si>
    <t xml:space="preserve">FATMA YAKAY</t>
  </si>
  <si>
    <t xml:space="preserve">2026022001QBE0000153</t>
  </si>
  <si>
    <t xml:space="preserve">9290357303</t>
  </si>
  <si>
    <t xml:space="preserve">MUSTAFA YAKUT</t>
  </si>
  <si>
    <t xml:space="preserve">2026022001QBE0000150</t>
  </si>
  <si>
    <t xml:space="preserve">9390390340</t>
  </si>
  <si>
    <t xml:space="preserve">ŞERİFE ATAY</t>
  </si>
  <si>
    <t xml:space="preserve">2026012001QBE0000002</t>
  </si>
  <si>
    <t xml:space="preserve">9450230454</t>
  </si>
  <si>
    <t xml:space="preserve">OSMAN YAZICI</t>
  </si>
  <si>
    <t xml:space="preserve">2026012001QBE0000004</t>
  </si>
  <si>
    <t xml:space="preserve">9470016948</t>
  </si>
  <si>
    <t xml:space="preserve">RİDVAN YEL</t>
  </si>
  <si>
    <t xml:space="preserve">2026012001QBE0000010</t>
  </si>
  <si>
    <t xml:space="preserve">2026013001QBE0000012</t>
  </si>
  <si>
    <t xml:space="preserve">2026013001QBE0000014</t>
  </si>
  <si>
    <t xml:space="preserve">9610775599</t>
  </si>
  <si>
    <t xml:space="preserve">ALİCAN YILDIZ</t>
  </si>
  <si>
    <t xml:space="preserve">2026012001QBE0000014</t>
  </si>
  <si>
    <t xml:space="preserve">9620043811</t>
  </si>
  <si>
    <t xml:space="preserve">İSKENDER YILDIZ</t>
  </si>
  <si>
    <t xml:space="preserve">2026031101QBE0000001</t>
  </si>
  <si>
    <t xml:space="preserve">9640055474</t>
  </si>
  <si>
    <t xml:space="preserve">NİZAMETTİN YILDIZ</t>
  </si>
  <si>
    <t xml:space="preserve">2026022001QBE0000008</t>
  </si>
  <si>
    <t xml:space="preserve">2026022001QBE0000011</t>
  </si>
  <si>
    <t xml:space="preserve">9840525441</t>
  </si>
  <si>
    <t xml:space="preserve">EDA YUMLU</t>
  </si>
  <si>
    <t xml:space="preserve">2026022001QBE0000140</t>
  </si>
  <si>
    <t xml:space="preserve">9990517478</t>
  </si>
  <si>
    <t xml:space="preserve">ZÜMRE ORGANİZASYON DÜĞÜN SALONU MEDYA EĞLENCE GIDA SANAYİ TİCARET LİMİTED ŞİRKETİ</t>
  </si>
  <si>
    <t xml:space="preserve">2024011601QAr0000098</t>
  </si>
  <si>
    <t xml:space="preserve">0012722890</t>
  </si>
  <si>
    <t xml:space="preserve">3B METROLOJİ MÜHENDİSLİK VE DANIŞMANLIK LİMİTED ŞİRKETİ</t>
  </si>
  <si>
    <t xml:space="preserve">2025051201QAi0000036</t>
  </si>
  <si>
    <t xml:space="preserve">0081923919</t>
  </si>
  <si>
    <t xml:space="preserve">AE GROUP MOTTONİ MAKİNE TEKSTİL İTHALAT VE İHRACAT LİMİTED ŞİRKETİ</t>
  </si>
  <si>
    <t xml:space="preserve">2026021701QAi0000159</t>
  </si>
  <si>
    <t xml:space="preserve">202510202512</t>
  </si>
  <si>
    <t xml:space="preserve">1911376608</t>
  </si>
  <si>
    <t xml:space="preserve">BURSA NAZRA TEKSTİL OTOMOTİV İNŞAAT TAŞIMACILIK GIDA SANAYİ TİCARET LİMİTED ŞİRKETİ</t>
  </si>
  <si>
    <t xml:space="preserve">2025052001QAj0000176</t>
  </si>
  <si>
    <t xml:space="preserve">2025081801QAj0000244</t>
  </si>
  <si>
    <t xml:space="preserve">202504202506</t>
  </si>
  <si>
    <t xml:space="preserve">1950903592</t>
  </si>
  <si>
    <t xml:space="preserve">BY DANTEKSTİL TEKSTİL SANAYİ VE TİCARET LİMİTED ŞİRKETİ</t>
  </si>
  <si>
    <t xml:space="preserve">2025051001QAj0000087</t>
  </si>
  <si>
    <t xml:space="preserve">2051075874</t>
  </si>
  <si>
    <t xml:space="preserve">CELİKA TEKNİK TEKSTİL AMBALAJ SANAYİ VE TİCARET LİMİTED ŞİRKETİ</t>
  </si>
  <si>
    <t xml:space="preserve">2025051901QAk0000199</t>
  </si>
  <si>
    <t xml:space="preserve">2025081601QAk0000104</t>
  </si>
  <si>
    <t xml:space="preserve">2025111601QAk0000001</t>
  </si>
  <si>
    <t xml:space="preserve">202507202509</t>
  </si>
  <si>
    <t xml:space="preserve">2026021701QAk0000180</t>
  </si>
  <si>
    <t xml:space="preserve">2111141275</t>
  </si>
  <si>
    <t xml:space="preserve">CNS ECZA DEPOSU SANAYİ VE TİCARET LİMİTED ŞİRKETİ</t>
  </si>
  <si>
    <t xml:space="preserve">2025080401QAk0000063</t>
  </si>
  <si>
    <t xml:space="preserve">2025110701QAk0000078</t>
  </si>
  <si>
    <t xml:space="preserve">2026021201QAk0000097</t>
  </si>
  <si>
    <t xml:space="preserve">2111475077</t>
  </si>
  <si>
    <t xml:space="preserve">CONSOLEX BİLİŞİM İÇ VE DIŞ TİCARET LİMİTED ŞİRKETİ</t>
  </si>
  <si>
    <t xml:space="preserve">2026021401QAk0000094</t>
  </si>
  <si>
    <t xml:space="preserve">2800137668</t>
  </si>
  <si>
    <t xml:space="preserve">ZÜBEYİR DEMİRBAŞ</t>
  </si>
  <si>
    <t xml:space="preserve">2025081501QAk0000170</t>
  </si>
  <si>
    <t xml:space="preserve">2930574788</t>
  </si>
  <si>
    <t xml:space="preserve">ADİL DESTAN</t>
  </si>
  <si>
    <t xml:space="preserve">2025110501QAk0000084</t>
  </si>
  <si>
    <t xml:space="preserve">2930957125</t>
  </si>
  <si>
    <t xml:space="preserve">DESTAR TEKSTİL SANAYİ VE TİCARET ANONİM ŞİRKETİ</t>
  </si>
  <si>
    <t xml:space="preserve">2026020501QAk0000011</t>
  </si>
  <si>
    <t xml:space="preserve">3080405945</t>
  </si>
  <si>
    <t xml:space="preserve">KADER KOCAÖZAĞA</t>
  </si>
  <si>
    <t xml:space="preserve">2025050601QAl0000013</t>
  </si>
  <si>
    <t xml:space="preserve">3850207635</t>
  </si>
  <si>
    <t xml:space="preserve">İDRİS FERE</t>
  </si>
  <si>
    <t xml:space="preserve">2026021401QAl0000083</t>
  </si>
  <si>
    <t xml:space="preserve">2026061501QB90000027</t>
  </si>
  <si>
    <t xml:space="preserve">2026061501QB90000028</t>
  </si>
  <si>
    <t xml:space="preserve">4701231702</t>
  </si>
  <si>
    <t xml:space="preserve">İDEM GRUP OTOMOTİV TEKSTİL SANAYİ VE TİCARET LİMİTED ŞİRKETİ</t>
  </si>
  <si>
    <t xml:space="preserve">2025052001QAm0000245</t>
  </si>
  <si>
    <t xml:space="preserve">4730338105</t>
  </si>
  <si>
    <t xml:space="preserve">İLKAY İPLİK KUMAŞ KONFEKSİYON VE TEKSTİL MAKİNALARI SANAYİ TİCARET LİMİTED ŞİRKETİ</t>
  </si>
  <si>
    <t xml:space="preserve">2025052001QAm0000259</t>
  </si>
  <si>
    <t xml:space="preserve">2026090901QAm0000042</t>
  </si>
  <si>
    <t xml:space="preserve">2026090901QAm0000045</t>
  </si>
  <si>
    <t xml:space="preserve">2026090901QAm0000048</t>
  </si>
  <si>
    <t xml:space="preserve">2026090901QAm0000051</t>
  </si>
  <si>
    <t xml:space="preserve">5811308180</t>
  </si>
  <si>
    <t xml:space="preserve">KOTAN YATÇILIK KOMPOZİT VE İNSAN KAYNAKLARI SANAYİ TİCARET LİMİTED ŞİRKETİ</t>
  </si>
  <si>
    <t xml:space="preserve">2025052001QAn0000248</t>
  </si>
  <si>
    <t xml:space="preserve">6550700393</t>
  </si>
  <si>
    <t xml:space="preserve">VEYSEL ÖN</t>
  </si>
  <si>
    <t xml:space="preserve">2025080601QAo0000082</t>
  </si>
  <si>
    <t xml:space="preserve">6710731210</t>
  </si>
  <si>
    <t xml:space="preserve">OKAN ÖZCAN</t>
  </si>
  <si>
    <t xml:space="preserve">2025110601QAo0000052</t>
  </si>
  <si>
    <t xml:space="preserve">6720708153</t>
  </si>
  <si>
    <t xml:space="preserve">ÖZÇALIŞKANLAR DAYANIKLI TÜKETİM MALLARI TEMİZLİK İTHALAT VE İHRACAT LİMİTED ŞİRKETİ</t>
  </si>
  <si>
    <t xml:space="preserve">2025052001QAo0000168</t>
  </si>
  <si>
    <t xml:space="preserve">7291275913</t>
  </si>
  <si>
    <t xml:space="preserve">PEYNİRCİ SEYİT GIDA TARIMSAL HAYVANSAL ÜRÜNLER ET ZEYTİN ZEYTİNYAĞI SÜT VE SÜT ÜRÜNLE</t>
  </si>
  <si>
    <t xml:space="preserve">2026021701QAp0000034</t>
  </si>
  <si>
    <t xml:space="preserve">7310250360</t>
  </si>
  <si>
    <t xml:space="preserve">ENVER POLAT</t>
  </si>
  <si>
    <t xml:space="preserve">2026020901QAp0000105</t>
  </si>
  <si>
    <t xml:space="preserve">7351544016</t>
  </si>
  <si>
    <t xml:space="preserve">ROTCAR OTOMOTİV SANAYİ VE TİCARET LİMİTED ŞİRKETİ</t>
  </si>
  <si>
    <t xml:space="preserve">2025051601QAp0000199</t>
  </si>
  <si>
    <t xml:space="preserve">2025081401QAp0000076</t>
  </si>
  <si>
    <t xml:space="preserve">7352034459</t>
  </si>
  <si>
    <t xml:space="preserve">ROTCAR DIŞ TİCARET ANONİM ŞİRKETİ</t>
  </si>
  <si>
    <t xml:space="preserve">2025081401QAp0000071</t>
  </si>
  <si>
    <t xml:space="preserve">7420468706</t>
  </si>
  <si>
    <t xml:space="preserve">OĞUZHAN SAMANCI</t>
  </si>
  <si>
    <t xml:space="preserve">2025051901QAp0000269</t>
  </si>
  <si>
    <t xml:space="preserve">2025081801QAp0000020</t>
  </si>
  <si>
    <t xml:space="preserve">2025111701QAp0000001</t>
  </si>
  <si>
    <t xml:space="preserve">7520312907</t>
  </si>
  <si>
    <t xml:space="preserve">MUKADDES YILMAZ</t>
  </si>
  <si>
    <t xml:space="preserve">2026072801QAp0000160</t>
  </si>
  <si>
    <t xml:space="preserve">7570794957</t>
  </si>
  <si>
    <t xml:space="preserve">SC DIŞ TİCARET LİMİTED ŞİRKETİ</t>
  </si>
  <si>
    <t xml:space="preserve">2025051601QAp0000039</t>
  </si>
  <si>
    <t xml:space="preserve">2025081601QAp0000123</t>
  </si>
  <si>
    <t xml:space="preserve">7600937850</t>
  </si>
  <si>
    <t xml:space="preserve">SEMBOL GRUP TEKSTİL SANAYİ VE TİCARET LİMİTED ŞİRKETİ</t>
  </si>
  <si>
    <t xml:space="preserve">2026061601QAp0000133</t>
  </si>
  <si>
    <t xml:space="preserve">2025081801QAp0000222</t>
  </si>
  <si>
    <t xml:space="preserve">7790587163</t>
  </si>
  <si>
    <t xml:space="preserve">REMZİ SÖNMEZ</t>
  </si>
  <si>
    <t xml:space="preserve">2025051901QAp0000003</t>
  </si>
  <si>
    <t xml:space="preserve">2025081701QAp0000018</t>
  </si>
  <si>
    <t xml:space="preserve">7850081270</t>
  </si>
  <si>
    <t xml:space="preserve">ALİ SÜGÜR</t>
  </si>
  <si>
    <t xml:space="preserve">2025042501QAp0000185</t>
  </si>
  <si>
    <t xml:space="preserve">2025072201QAp0000146</t>
  </si>
  <si>
    <t xml:space="preserve">7880779937</t>
  </si>
  <si>
    <t xml:space="preserve">SYRMO DIŞ TİCARET VE İNŞAAT SANAYİ LİMİTED ŞİRKETİ</t>
  </si>
  <si>
    <t xml:space="preserve">2025110501QAp0000023</t>
  </si>
  <si>
    <t xml:space="preserve">7980697411</t>
  </si>
  <si>
    <t xml:space="preserve">TUBA ŞAKACI</t>
  </si>
  <si>
    <t xml:space="preserve">2025051201QAp0000148</t>
  </si>
  <si>
    <t xml:space="preserve">2025081301QAp0000146</t>
  </si>
  <si>
    <t xml:space="preserve">8030537333</t>
  </si>
  <si>
    <t xml:space="preserve">CÜNEYT ŞENCAN</t>
  </si>
  <si>
    <t xml:space="preserve">2026030901QAq0000114</t>
  </si>
  <si>
    <t xml:space="preserve">8170142788</t>
  </si>
  <si>
    <t xml:space="preserve">SONER TAMER</t>
  </si>
  <si>
    <t xml:space="preserve">2026021601QAq0000115</t>
  </si>
  <si>
    <t xml:space="preserve">2026030501QBD0000002</t>
  </si>
  <si>
    <t xml:space="preserve">8340092800</t>
  </si>
  <si>
    <t xml:space="preserve">BARIŞ TEKİN</t>
  </si>
  <si>
    <t xml:space="preserve">2025052001QAq0000101</t>
  </si>
  <si>
    <t xml:space="preserve">2025081601QAq0000087</t>
  </si>
  <si>
    <t xml:space="preserve">2025111701QAq0000135</t>
  </si>
  <si>
    <t xml:space="preserve">8590253721</t>
  </si>
  <si>
    <t xml:space="preserve">ŞENGÜL ŞİŞE</t>
  </si>
  <si>
    <t xml:space="preserve">2026021001QAq0000038</t>
  </si>
  <si>
    <t xml:space="preserve">2026021001QAq0000040</t>
  </si>
  <si>
    <t xml:space="preserve">8591417111</t>
  </si>
  <si>
    <t xml:space="preserve">TT TEKNİK TORNA MAKİNE APARAT KALIP SANAYİ VE TİCARET LİMİTED ŞİRKETİ</t>
  </si>
  <si>
    <t xml:space="preserve">2025051901QAq0000179</t>
  </si>
  <si>
    <t xml:space="preserve">2025081801QAq0000038</t>
  </si>
  <si>
    <t xml:space="preserve">8670230547</t>
  </si>
  <si>
    <t xml:space="preserve">İLKER TUNER</t>
  </si>
  <si>
    <t xml:space="preserve">2025050201QAq0000056</t>
  </si>
  <si>
    <t xml:space="preserve">8750733178</t>
  </si>
  <si>
    <t xml:space="preserve">TÜR KU PEYZAJ İNŞAAT MADENCİLİK TEKSTİL GIDA İTHALAT İHRACAT SANAYİ VE TİCARET LİMİTED ŞİRKETİ</t>
  </si>
  <si>
    <t xml:space="preserve">2025110401QAq0000017</t>
  </si>
  <si>
    <t xml:space="preserve">2026021301QAq0000053</t>
  </si>
  <si>
    <t xml:space="preserve">8950103890</t>
  </si>
  <si>
    <t xml:space="preserve">FERDİ USLU</t>
  </si>
  <si>
    <t xml:space="preserve">2025051901QAq0000073</t>
  </si>
  <si>
    <t xml:space="preserve">2025080501QAq0000027</t>
  </si>
  <si>
    <t xml:space="preserve">2025111101QAq0000030</t>
  </si>
  <si>
    <t xml:space="preserve">8990377755</t>
  </si>
  <si>
    <t xml:space="preserve">EBRU UYSAL</t>
  </si>
  <si>
    <t xml:space="preserve">2025080901QAq0000035</t>
  </si>
  <si>
    <t xml:space="preserve">2025111001QAq0000084</t>
  </si>
  <si>
    <t xml:space="preserve">2026021201QAq0000068</t>
  </si>
  <si>
    <t xml:space="preserve">9640550354</t>
  </si>
  <si>
    <t xml:space="preserve">ŞENOL YILDIZ</t>
  </si>
  <si>
    <t xml:space="preserve">2026021701QAr0000050</t>
  </si>
  <si>
    <t xml:space="preserve">DÜZELTME FİŞ NUMARASI</t>
  </si>
  <si>
    <t xml:space="preserve">06.05 - Geçici Vergi Terkin Edilip Gecikme Zammı Üretilmeyen Tahakkuklar Listesi</t>
  </si>
  <si>
    <t xml:space="preserve">2021052101QAo0000113</t>
  </si>
  <si>
    <t xml:space="preserve">2021111917Q9l0002614</t>
  </si>
  <si>
    <t xml:space="preserve">6700336310</t>
  </si>
  <si>
    <t xml:space="preserve">MELİKE EKŞİ</t>
  </si>
  <si>
    <t xml:space="preserve">2022020201QAl0000040</t>
  </si>
  <si>
    <t xml:space="preserve">2022041117Q9i0000711</t>
  </si>
  <si>
    <t xml:space="preserve">3870660841</t>
  </si>
  <si>
    <t xml:space="preserve">AHMET MUHAMMET FİDAN</t>
  </si>
  <si>
    <t xml:space="preserve">2022051601QAl0000070</t>
  </si>
  <si>
    <t xml:space="preserve">2023053117Q9i0001311</t>
  </si>
  <si>
    <t xml:space="preserve">3851445367</t>
  </si>
  <si>
    <t xml:space="preserve">JUEZ MOBİLYA SANAYİ VE TİCARET LİMİTED ŞİRKETİ</t>
  </si>
  <si>
    <t xml:space="preserve">2023081701QAp0000213</t>
  </si>
  <si>
    <t xml:space="preserve">2024052117Q9m0001214</t>
  </si>
  <si>
    <t xml:space="preserve">7070144612</t>
  </si>
  <si>
    <t xml:space="preserve">RIZA ÖZTEKİN</t>
  </si>
  <si>
    <t xml:space="preserve">2023111701QAp0000172</t>
  </si>
  <si>
    <t xml:space="preserve">2024052117Q9m0001211</t>
  </si>
  <si>
    <t xml:space="preserve">2024110501QAr0000074</t>
  </si>
  <si>
    <t xml:space="preserve">2025051217Q9o0000731</t>
  </si>
  <si>
    <t xml:space="preserve">9540514772</t>
  </si>
  <si>
    <t xml:space="preserve">AYŞEGÜL EFE</t>
  </si>
  <si>
    <t xml:space="preserve">2024100701QAm0000017</t>
  </si>
  <si>
    <t xml:space="preserve">2025032517Q9j0000395</t>
  </si>
  <si>
    <t xml:space="preserve">4290101746</t>
  </si>
  <si>
    <t xml:space="preserve">İBRAHİM GÜNDOĞDU</t>
  </si>
  <si>
    <t xml:space="preserve">2024110501QAl0000069</t>
  </si>
  <si>
    <t xml:space="preserve">2025062517Q9i0001498</t>
  </si>
  <si>
    <t xml:space="preserve">3881718295</t>
  </si>
  <si>
    <t xml:space="preserve">GALORE GIDA TİCARET LİMİTED ŞİRKETİ</t>
  </si>
  <si>
    <t xml:space="preserve">2024112001QAq0000085</t>
  </si>
  <si>
    <t xml:space="preserve">2025062617Q9n0001238</t>
  </si>
  <si>
    <t xml:space="preserve">8160513184</t>
  </si>
  <si>
    <t xml:space="preserve">TAKINTI TEKSTİL TURİZM GIDA İNŞAAT SANAYİ VE TİCARET LİMİTED ŞİRKETİ</t>
  </si>
  <si>
    <t xml:space="preserve">2023081401QAn0000234</t>
  </si>
  <si>
    <t xml:space="preserve">2024070417Q9k0001409</t>
  </si>
  <si>
    <t xml:space="preserve">5580026173</t>
  </si>
  <si>
    <t xml:space="preserve">İRFAN KIRMIZ</t>
  </si>
  <si>
    <t xml:space="preserve">2023081001QAp0000072</t>
  </si>
  <si>
    <t xml:space="preserve">2024052117Q9m0001212</t>
  </si>
  <si>
    <t xml:space="preserve">7300109866</t>
  </si>
  <si>
    <t xml:space="preserve">SERKAN PİŞİREN</t>
  </si>
  <si>
    <t xml:space="preserve">2023081001QAi0000035</t>
  </si>
  <si>
    <t xml:space="preserve">2024050917Q9f0001097</t>
  </si>
  <si>
    <t xml:space="preserve">0110171392</t>
  </si>
  <si>
    <t xml:space="preserve">NEDİME AKBURAK</t>
  </si>
  <si>
    <t xml:space="preserve">2024112201QAj0000314</t>
  </si>
  <si>
    <t xml:space="preserve">2025061317Q9g0001502</t>
  </si>
  <si>
    <t xml:space="preserve">1911118014</t>
  </si>
  <si>
    <t xml:space="preserve">BUSKAR DİZAYN KAROSER OTOMOTİV MOBİLYA TEKSTİL SANAYİ VE DIŞ TİCARET LİMİTED ŞİRKETİ</t>
  </si>
  <si>
    <t xml:space="preserve">2023111701QAk0000047</t>
  </si>
  <si>
    <t xml:space="preserve">2024043017Q9h0000893</t>
  </si>
  <si>
    <t xml:space="preserve">2420520901</t>
  </si>
  <si>
    <t xml:space="preserve">ÇERKEZOĞLU MÜHENDİSLİK MAKİNA İNŞAAT TAAHHÜT TEKSTİL SANAYİ VE TİCARET LİMİTED ŞİRKETİ</t>
  </si>
  <si>
    <t xml:space="preserve">2023111001QAn0000109</t>
  </si>
  <si>
    <t xml:space="preserve">2024070417Q9k0001408</t>
  </si>
  <si>
    <t xml:space="preserve">2024112101QAq0000172</t>
  </si>
  <si>
    <t xml:space="preserve">2025030617Q9n0000302</t>
  </si>
  <si>
    <t xml:space="preserve">8940272436</t>
  </si>
  <si>
    <t xml:space="preserve">GÜLAY URUÇ</t>
  </si>
  <si>
    <t xml:space="preserve">2023111501QAm0000104</t>
  </si>
  <si>
    <t xml:space="preserve">2024052817Q9j0000956</t>
  </si>
  <si>
    <t xml:space="preserve">4641339212</t>
  </si>
  <si>
    <t xml:space="preserve">HÜLYAM PİKE TEKSTİL SANAYİ DIŞ TİCARET LİMİTED ŞİRKETİ</t>
  </si>
  <si>
    <t xml:space="preserve">2024052001QAo0000162</t>
  </si>
  <si>
    <t xml:space="preserve">2025061017Q9l0001532</t>
  </si>
  <si>
    <t xml:space="preserve">6840261899</t>
  </si>
  <si>
    <t xml:space="preserve">ÖZDÜLGER KUMAŞ KONFEKSİYON TEKSTİL SANAYİ TİCARET LİMİTED ŞİRKETİ</t>
  </si>
  <si>
    <t xml:space="preserve">2024111201QAr0000057</t>
  </si>
  <si>
    <t xml:space="preserve">2025061017Q9o0001051</t>
  </si>
  <si>
    <t xml:space="preserve">9810813663</t>
  </si>
  <si>
    <t xml:space="preserve">ASLI YOKUŞ</t>
  </si>
  <si>
    <t xml:space="preserve">2025050601QAi0000062</t>
  </si>
  <si>
    <t xml:space="preserve">2026040917Q9f0000553</t>
  </si>
  <si>
    <t xml:space="preserve">0241181669</t>
  </si>
  <si>
    <t xml:space="preserve">BETÜL BAYRAM</t>
  </si>
  <si>
    <t xml:space="preserve">2025073101QAo0000062</t>
  </si>
  <si>
    <t xml:space="preserve">2026040117Q9l0000618</t>
  </si>
  <si>
    <t xml:space="preserve">6920405555</t>
  </si>
  <si>
    <t xml:space="preserve">İSMAİL ÖZGÜL</t>
  </si>
  <si>
    <t xml:space="preserve">2026021101QAr0000054</t>
  </si>
  <si>
    <t xml:space="preserve">2026040117Q9o0000213</t>
  </si>
  <si>
    <t xml:space="preserve">9691118827</t>
  </si>
  <si>
    <t xml:space="preserve">HALİL İBRAHİM YILMAZ</t>
  </si>
  <si>
    <t xml:space="preserve">2026021501QAl0000058</t>
  </si>
  <si>
    <t xml:space="preserve">2026042017Q9i0000678</t>
  </si>
  <si>
    <t xml:space="preserve">3870319501</t>
  </si>
  <si>
    <t xml:space="preserve">FATİH FİDAN</t>
  </si>
  <si>
    <t xml:space="preserve">2025051601QAk0000007</t>
  </si>
  <si>
    <t xml:space="preserve">2026040217Q9h0000415</t>
  </si>
  <si>
    <t xml:space="preserve">2670037322</t>
  </si>
  <si>
    <t xml:space="preserve">ERDOĞAN DAHAR</t>
  </si>
  <si>
    <t xml:space="preserve">2025110601QAi0000031</t>
  </si>
  <si>
    <t xml:space="preserve">2026052117Q9f0001326</t>
  </si>
  <si>
    <t xml:space="preserve">0120373956</t>
  </si>
  <si>
    <t xml:space="preserve">GÜLTEN AKALIN</t>
  </si>
  <si>
    <t xml:space="preserve">2025081801QAo0000007</t>
  </si>
  <si>
    <t xml:space="preserve">2026062217Q9l0001715</t>
  </si>
  <si>
    <t xml:space="preserve">6311295223</t>
  </si>
  <si>
    <t xml:space="preserve">NES HIRDAVAT GIDA TURİZM İNŞAAT OTOMOTİV SANAYİ VE TİCARET LİMİTED ŞİRKETİ</t>
  </si>
  <si>
    <t xml:space="preserve">2026020201QAk0000050</t>
  </si>
  <si>
    <t xml:space="preserve">2026031617Q9h0000327</t>
  </si>
  <si>
    <t xml:space="preserve">2270612269</t>
  </si>
  <si>
    <t xml:space="preserve">OKTAY ÇALIŞMAN</t>
  </si>
  <si>
    <t xml:space="preserve">2026090917Q9g0001823</t>
  </si>
  <si>
    <t xml:space="preserve">2025111401QAn0000016</t>
  </si>
  <si>
    <t xml:space="preserve">2026050717Q9k0000964</t>
  </si>
  <si>
    <t xml:space="preserve">5310169426</t>
  </si>
  <si>
    <t xml:space="preserve">CUMALİ KAYA</t>
  </si>
  <si>
    <t xml:space="preserve">2025111101QAi0000045</t>
  </si>
  <si>
    <t xml:space="preserve">2026061717Q9f0001439</t>
  </si>
  <si>
    <t xml:space="preserve">0310727641</t>
  </si>
  <si>
    <t xml:space="preserve">LAMİA AKMAN</t>
  </si>
  <si>
    <t xml:space="preserve">2025111301QAl0000003</t>
  </si>
  <si>
    <t xml:space="preserve">2026050817Q9i0001239</t>
  </si>
  <si>
    <t xml:space="preserve">3880749824</t>
  </si>
  <si>
    <t xml:space="preserve">FYB TEKSTİL KONFEKSİYON İTHALAT İHRACAT SANAYİ VE TİCARET LİMİTED ŞİRKETİ</t>
  </si>
  <si>
    <t xml:space="preserve">2025110401QAp0000071</t>
  </si>
  <si>
    <t xml:space="preserve">2026032717Q9m0000392</t>
  </si>
  <si>
    <t xml:space="preserve">7530001917</t>
  </si>
  <si>
    <t xml:space="preserve">ALİ SAVAŞ</t>
  </si>
  <si>
    <t xml:space="preserve">2026021401QAp0000067</t>
  </si>
  <si>
    <t xml:space="preserve">2026041517Q9m0000519</t>
  </si>
  <si>
    <t xml:space="preserve">7342517393</t>
  </si>
  <si>
    <t xml:space="preserve">REVARDAR BURSAKUMAŞDÜNYASI TEKSTİL SANAYİ VE TİCARET LİMİTED ŞİRKETİ</t>
  </si>
  <si>
    <t xml:space="preserve">2026020701QAo0000005</t>
  </si>
  <si>
    <t xml:space="preserve">2026051317Q9l0001228</t>
  </si>
  <si>
    <t xml:space="preserve">6231944086</t>
  </si>
  <si>
    <t xml:space="preserve">MSA SÜT ÜRÜNLERİ SANAYİ VE TİCARET LİMİTED ŞİRKETİ</t>
  </si>
  <si>
    <t xml:space="preserve">2025051201QAi0000163</t>
  </si>
  <si>
    <t xml:space="preserve">2026042817Q9f0001082</t>
  </si>
  <si>
    <t xml:space="preserve">0990111230</t>
  </si>
  <si>
    <t xml:space="preserve">MEHMET ATAŞ</t>
  </si>
  <si>
    <t xml:space="preserve">2025081101QAl0000010</t>
  </si>
  <si>
    <t xml:space="preserve">2026042817Q9i0001142</t>
  </si>
  <si>
    <t xml:space="preserve">3290792272</t>
  </si>
  <si>
    <t xml:space="preserve">MUZAFFER EKİNCİ</t>
  </si>
  <si>
    <t xml:space="preserve">2025051701QAl0000001</t>
  </si>
  <si>
    <t xml:space="preserve">2026042817Q9i0001143</t>
  </si>
  <si>
    <t xml:space="preserve">2025081301QAj0000019</t>
  </si>
  <si>
    <t xml:space="preserve">2026072817Q9g0001680</t>
  </si>
  <si>
    <t xml:space="preserve">1911254119</t>
  </si>
  <si>
    <t xml:space="preserve">BURSA GÖZDE TEKSTİL MAĞAZACILIK HİZMETLERİ TİCARET LİMİTED ŞİRKETİ</t>
  </si>
  <si>
    <t xml:space="preserve">2026021201QAr0000003</t>
  </si>
  <si>
    <t xml:space="preserve">2026041417Q9o0000259</t>
  </si>
  <si>
    <t xml:space="preserve">9830906319</t>
  </si>
  <si>
    <t xml:space="preserve">YÖNCE YAYIN DAĞITIM KİTABEVİ LİMİTED ŞİRKETİ</t>
  </si>
  <si>
    <t xml:space="preserve">2026021601QAi0000077</t>
  </si>
  <si>
    <t xml:space="preserve">2026061017Q9f0001404</t>
  </si>
  <si>
    <t xml:space="preserve">0780463938</t>
  </si>
  <si>
    <t xml:space="preserve">MERT ARIKAN</t>
  </si>
  <si>
    <t xml:space="preserve">2025110301QAi0000062</t>
  </si>
  <si>
    <t xml:space="preserve">2026050817Q9f0001155</t>
  </si>
  <si>
    <t xml:space="preserve">0100946081</t>
  </si>
  <si>
    <t xml:space="preserve">AHİ PREFABRİK YAPI İNŞAAT SANAYİ VE TİCARET ANONİM ŞİRKETİ</t>
  </si>
  <si>
    <t xml:space="preserve">2025052001QAi0000056</t>
  </si>
  <si>
    <t xml:space="preserve">2026050817Q9f0001165</t>
  </si>
  <si>
    <t xml:space="preserve">0801112799</t>
  </si>
  <si>
    <t xml:space="preserve">ARS EV TEKSTİLİ OTOMOTİV SANAYİ VE TİCARET ANONİM ŞİRKETİ</t>
  </si>
  <si>
    <t xml:space="preserve">2025081401QAi0000082</t>
  </si>
  <si>
    <t xml:space="preserve">2026051117Q9f0001173</t>
  </si>
  <si>
    <t xml:space="preserve">0012097122</t>
  </si>
  <si>
    <t xml:space="preserve">HAMZA ABBO</t>
  </si>
  <si>
    <t xml:space="preserve">DÜZENLENME TARİHİ</t>
  </si>
  <si>
    <t xml:space="preserve">06.01 - Tarh Defterinde Geçici Olarak Bekleyen İhbarnameler Listesi</t>
  </si>
  <si>
    <t xml:space="preserve">2026080813QAJ0000005</t>
  </si>
  <si>
    <t xml:space="preserve">08/08/2026</t>
  </si>
  <si>
    <t xml:space="preserve">9990033214</t>
  </si>
  <si>
    <t xml:space="preserve">MUSTAFA ZORLUOĞLU</t>
  </si>
  <si>
    <t xml:space="preserve">202604202604</t>
  </si>
  <si>
    <t xml:space="preserve">2026080813QAJ0000006</t>
  </si>
  <si>
    <t xml:space="preserve">2026082013QAJ0000012</t>
  </si>
  <si>
    <t xml:space="preserve">9950371883</t>
  </si>
  <si>
    <t xml:space="preserve">İBRAHİM ETHEM YÜNCÜLER</t>
  </si>
  <si>
    <t xml:space="preserve">3074</t>
  </si>
  <si>
    <t xml:space="preserve">202608202608</t>
  </si>
  <si>
    <t xml:space="preserve">2026021113QAJ0000001</t>
  </si>
  <si>
    <t xml:space="preserve">11/02/2026</t>
  </si>
  <si>
    <t xml:space="preserve">9740033335</t>
  </si>
  <si>
    <t xml:space="preserve">ORHAN YILMAZ</t>
  </si>
  <si>
    <t xml:space="preserve">9047</t>
  </si>
  <si>
    <t xml:space="preserve">202512202512</t>
  </si>
  <si>
    <t xml:space="preserve">2026080813QAJ0000002</t>
  </si>
  <si>
    <t xml:space="preserve">2026080813QAJ0000004</t>
  </si>
  <si>
    <t xml:space="preserve">202602202602</t>
  </si>
  <si>
    <t xml:space="preserve">2026080813QAJ0000003</t>
  </si>
  <si>
    <t xml:space="preserve">202601202601</t>
  </si>
  <si>
    <t xml:space="preserve">2026080813QAJ0000001</t>
  </si>
  <si>
    <t xml:space="preserve">9330492777</t>
  </si>
  <si>
    <t xml:space="preserve">YASİR CİHAT YALIN</t>
  </si>
  <si>
    <t xml:space="preserve">2026082013QAJ0000013</t>
  </si>
  <si>
    <t xml:space="preserve">9330018280</t>
  </si>
  <si>
    <t xml:space="preserve">ŞABAN YALDIZ</t>
  </si>
  <si>
    <t xml:space="preserve">2026090413QAJ0000001</t>
  </si>
  <si>
    <t xml:space="preserve">04/09/2026</t>
  </si>
  <si>
    <t xml:space="preserve">9241086899</t>
  </si>
  <si>
    <t xml:space="preserve">VATANSEVDİ OTOMOTİV MAKİNE SANAYİ VE TİCARET LİMİTED ŞİRKETİ</t>
  </si>
  <si>
    <t xml:space="preserve">4017</t>
  </si>
  <si>
    <t xml:space="preserve">2026042913QAI0000024</t>
  </si>
  <si>
    <t xml:space="preserve">29/04/2026</t>
  </si>
  <si>
    <t xml:space="preserve">8730286258</t>
  </si>
  <si>
    <t xml:space="preserve">TUZPAZARI CAMİİ DERNEĞİ</t>
  </si>
  <si>
    <t xml:space="preserve">3073</t>
  </si>
  <si>
    <t xml:space="preserve">2026042913QAI0000023</t>
  </si>
  <si>
    <t xml:space="preserve">2026012713QAI0000003</t>
  </si>
  <si>
    <t xml:space="preserve">27/01/2026</t>
  </si>
  <si>
    <t xml:space="preserve">8680074233</t>
  </si>
  <si>
    <t xml:space="preserve">EROL TURAN</t>
  </si>
  <si>
    <t xml:space="preserve">2026081413QAI0000002</t>
  </si>
  <si>
    <t xml:space="preserve">8340366592</t>
  </si>
  <si>
    <t xml:space="preserve">BİLAL TEKİN</t>
  </si>
  <si>
    <t xml:space="preserve">2026042913QAI0000056</t>
  </si>
  <si>
    <t xml:space="preserve">8340044536</t>
  </si>
  <si>
    <t xml:space="preserve">NECAT TEKER</t>
  </si>
  <si>
    <t xml:space="preserve">2026091013QAH0000001</t>
  </si>
  <si>
    <t xml:space="preserve">10/09/2026</t>
  </si>
  <si>
    <t xml:space="preserve">202603202603</t>
  </si>
  <si>
    <t xml:space="preserve">2026090413QAH0000001</t>
  </si>
  <si>
    <t xml:space="preserve">7341250913</t>
  </si>
  <si>
    <t xml:space="preserve">RAHIL ARHIL</t>
  </si>
  <si>
    <t xml:space="preserve">2026090413QAH0000002</t>
  </si>
  <si>
    <t xml:space="preserve">2026090413QAH0000003</t>
  </si>
  <si>
    <t xml:space="preserve">2026090413QAH0000004</t>
  </si>
  <si>
    <t xml:space="preserve">2026090413QAH0000005</t>
  </si>
  <si>
    <t xml:space="preserve">2026090413QAH0000006</t>
  </si>
  <si>
    <t xml:space="preserve">2026090413QAH0000007</t>
  </si>
  <si>
    <t xml:space="preserve">2026090413QAH0000008</t>
  </si>
  <si>
    <t xml:space="preserve">2026090413QAH0000009</t>
  </si>
  <si>
    <t xml:space="preserve">2026090413QAH0000010</t>
  </si>
  <si>
    <t xml:space="preserve">2026090413QAH0000011</t>
  </si>
  <si>
    <t xml:space="preserve">2026090413QAH0000012</t>
  </si>
  <si>
    <t xml:space="preserve">2026090413QAH0000013</t>
  </si>
  <si>
    <t xml:space="preserve">202201202201</t>
  </si>
  <si>
    <t xml:space="preserve">2026090413QAH0000014</t>
  </si>
  <si>
    <t xml:space="preserve">2026090413QAH0000015</t>
  </si>
  <si>
    <t xml:space="preserve">2026090413QAH0000016</t>
  </si>
  <si>
    <t xml:space="preserve">2026090413QAH0000017</t>
  </si>
  <si>
    <t xml:space="preserve">2026090413QAH0000018</t>
  </si>
  <si>
    <t xml:space="preserve">2026090413QAH0000019</t>
  </si>
  <si>
    <t xml:space="preserve">2026090413QAH0000021</t>
  </si>
  <si>
    <t xml:space="preserve">2026090413QAH0000022</t>
  </si>
  <si>
    <t xml:space="preserve">2026090413QAH0000023</t>
  </si>
  <si>
    <t xml:space="preserve">2026090413QAH0000024</t>
  </si>
  <si>
    <t xml:space="preserve">2026090413QAH0000025</t>
  </si>
  <si>
    <t xml:space="preserve">202301202301</t>
  </si>
  <si>
    <t xml:space="preserve">2026090413QAH0000026</t>
  </si>
  <si>
    <t xml:space="preserve">202302202302</t>
  </si>
  <si>
    <t xml:space="preserve">2026090413QAH0000027</t>
  </si>
  <si>
    <t xml:space="preserve">2026090413QAH0000028</t>
  </si>
  <si>
    <t xml:space="preserve">2026090413QAH0000029</t>
  </si>
  <si>
    <t xml:space="preserve">2026090413QAH0000030</t>
  </si>
  <si>
    <t xml:space="preserve">2026090413QAH0000031</t>
  </si>
  <si>
    <t xml:space="preserve">2026090413QAH0000032</t>
  </si>
  <si>
    <t xml:space="preserve">2026090413QAH0000033</t>
  </si>
  <si>
    <t xml:space="preserve">2026090413QAH0000034</t>
  </si>
  <si>
    <t xml:space="preserve">2026090413QAH0000035</t>
  </si>
  <si>
    <t xml:space="preserve">2026090413QAH0000036</t>
  </si>
  <si>
    <t xml:space="preserve">2026090413QAH0000037</t>
  </si>
  <si>
    <t xml:space="preserve">2026090413QAH0000038</t>
  </si>
  <si>
    <t xml:space="preserve">2026090413QAH0000039</t>
  </si>
  <si>
    <t xml:space="preserve">2026090413QAH0000040</t>
  </si>
  <si>
    <t xml:space="preserve">2026090413QAH0000041</t>
  </si>
  <si>
    <t xml:space="preserve">2026090413QAH0000042</t>
  </si>
  <si>
    <t xml:space="preserve">2026090413QAH0000049</t>
  </si>
  <si>
    <t xml:space="preserve">2026090413QAH0000050</t>
  </si>
  <si>
    <t xml:space="preserve">2026090413QAH0000051</t>
  </si>
  <si>
    <t xml:space="preserve">2026090413QAH0000052</t>
  </si>
  <si>
    <t xml:space="preserve">2026090413QAH0000053</t>
  </si>
  <si>
    <t xml:space="preserve">2026090413QAH0000055</t>
  </si>
  <si>
    <t xml:space="preserve">2026090413QAH0000056</t>
  </si>
  <si>
    <t xml:space="preserve">2026090413QAH0000059</t>
  </si>
  <si>
    <t xml:space="preserve">2026090413QAH0000060</t>
  </si>
  <si>
    <t xml:space="preserve">202504202504</t>
  </si>
  <si>
    <t xml:space="preserve">2026090413QAH0000061</t>
  </si>
  <si>
    <t xml:space="preserve">202505202505</t>
  </si>
  <si>
    <t xml:space="preserve">2026090413QAH0000062</t>
  </si>
  <si>
    <t xml:space="preserve">202506202506</t>
  </si>
  <si>
    <t xml:space="preserve">2026090413QAH0000063</t>
  </si>
  <si>
    <t xml:space="preserve">2026090413QAH0000064</t>
  </si>
  <si>
    <t xml:space="preserve">2026090413QAH0000065</t>
  </si>
  <si>
    <t xml:space="preserve">2026090413QAH0000066</t>
  </si>
  <si>
    <t xml:space="preserve">2026090413QAH0000067</t>
  </si>
  <si>
    <t xml:space="preserve">2026090413QAH0000068</t>
  </si>
  <si>
    <t xml:space="preserve">2026090413QAH0000070</t>
  </si>
  <si>
    <t xml:space="preserve">2026090413QAH0000071</t>
  </si>
  <si>
    <t xml:space="preserve">2026090413QAH0000072</t>
  </si>
  <si>
    <t xml:space="preserve">2026090413QAH0000073</t>
  </si>
  <si>
    <t xml:space="preserve">202605202605</t>
  </si>
  <si>
    <t xml:space="preserve">2026090413QAH0000074</t>
  </si>
  <si>
    <t xml:space="preserve">202606202606</t>
  </si>
  <si>
    <t xml:space="preserve">2026090413QAH0000075</t>
  </si>
  <si>
    <t xml:space="preserve">202607202607</t>
  </si>
  <si>
    <t xml:space="preserve">2026090413QAH0000076</t>
  </si>
  <si>
    <t xml:space="preserve">2026090413QAH0000077</t>
  </si>
  <si>
    <t xml:space="preserve">2026090413QAH0000078</t>
  </si>
  <si>
    <t xml:space="preserve">2026090413QAH0000079</t>
  </si>
  <si>
    <t xml:space="preserve">2026090413QAH0000081</t>
  </si>
  <si>
    <t xml:space="preserve">2026090413QAH0000082</t>
  </si>
  <si>
    <t xml:space="preserve">2026090413QAH0000083</t>
  </si>
  <si>
    <t xml:space="preserve">202210202212</t>
  </si>
  <si>
    <t xml:space="preserve">2026090713QAH0000001</t>
  </si>
  <si>
    <t xml:space="preserve">07/09/2026</t>
  </si>
  <si>
    <t xml:space="preserve">2026090713QAH0000002</t>
  </si>
  <si>
    <t xml:space="preserve">2026090713QAH0000003</t>
  </si>
  <si>
    <t xml:space="preserve">2026090713QAH0000004</t>
  </si>
  <si>
    <t xml:space="preserve">202310202312</t>
  </si>
  <si>
    <t xml:space="preserve">2026090713QAH0000005</t>
  </si>
  <si>
    <t xml:space="preserve">2026090713QAH0000006</t>
  </si>
  <si>
    <t xml:space="preserve">2026090713QAH0000007</t>
  </si>
  <si>
    <t xml:space="preserve">2026090713QAH0000009</t>
  </si>
  <si>
    <t xml:space="preserve">2026090713QAH0000010</t>
  </si>
  <si>
    <t xml:space="preserve">202410202412</t>
  </si>
  <si>
    <t xml:space="preserve">2026090713QAH0000011</t>
  </si>
  <si>
    <t xml:space="preserve">2026090713QAH0000012</t>
  </si>
  <si>
    <t xml:space="preserve">2026090713QAH0000013</t>
  </si>
  <si>
    <t xml:space="preserve">2026090713QAH0000014</t>
  </si>
  <si>
    <t xml:space="preserve">202601202603</t>
  </si>
  <si>
    <t xml:space="preserve">2026090713QAH0000015</t>
  </si>
  <si>
    <t xml:space="preserve">202604202606</t>
  </si>
  <si>
    <t xml:space="preserve">2026090713QAH0000016</t>
  </si>
  <si>
    <t xml:space="preserve">2026090713QAH0000017</t>
  </si>
  <si>
    <t xml:space="preserve">2026090713QAH0000018</t>
  </si>
  <si>
    <t xml:space="preserve">2026090713QAH0000019</t>
  </si>
  <si>
    <t xml:space="preserve">2026090713QAH0000020</t>
  </si>
  <si>
    <t xml:space="preserve">2026090713QAH0000021</t>
  </si>
  <si>
    <t xml:space="preserve">2026090713QAH0000022</t>
  </si>
  <si>
    <t xml:space="preserve">2026090713QAH0000023</t>
  </si>
  <si>
    <t xml:space="preserve">2026090713QAH0000024</t>
  </si>
  <si>
    <t xml:space="preserve">2026090713QAH0000025</t>
  </si>
  <si>
    <t xml:space="preserve">2026090713QAH0000026</t>
  </si>
  <si>
    <t xml:space="preserve">2026090713QAH0000027</t>
  </si>
  <si>
    <t xml:space="preserve">2026090713QAH0000028</t>
  </si>
  <si>
    <t xml:space="preserve">2026090713QAH0000029</t>
  </si>
  <si>
    <t xml:space="preserve">2026090713QAH0000030</t>
  </si>
  <si>
    <t xml:space="preserve">2026090713QAH0000031</t>
  </si>
  <si>
    <t xml:space="preserve">2026090713QAH0000032</t>
  </si>
  <si>
    <t xml:space="preserve">2026090713QAH0000033</t>
  </si>
  <si>
    <t xml:space="preserve">2026090713QAH0000034</t>
  </si>
  <si>
    <t xml:space="preserve">2026090713QAH0000035</t>
  </si>
  <si>
    <t xml:space="preserve">2026090713QAH0000036</t>
  </si>
  <si>
    <t xml:space="preserve">2026090713QAH0000037</t>
  </si>
  <si>
    <t xml:space="preserve">2026090713QAH0000038</t>
  </si>
  <si>
    <t xml:space="preserve">2026090713QAH0000039</t>
  </si>
  <si>
    <t xml:space="preserve">2026090713QAH0000040</t>
  </si>
  <si>
    <t xml:space="preserve">2026090713QAH0000041</t>
  </si>
  <si>
    <t xml:space="preserve">2026090713QAH0000042</t>
  </si>
  <si>
    <t xml:space="preserve">2026090713QAH0000043</t>
  </si>
  <si>
    <t xml:space="preserve">2026090713QAH0000044</t>
  </si>
  <si>
    <t xml:space="preserve">202601202612</t>
  </si>
  <si>
    <t xml:space="preserve">2025122613QAG0000002</t>
  </si>
  <si>
    <t xml:space="preserve">26/12/2025</t>
  </si>
  <si>
    <t xml:space="preserve">6860419326</t>
  </si>
  <si>
    <t xml:space="preserve">GÖKSAL ÖZEN</t>
  </si>
  <si>
    <t xml:space="preserve">2026090913QAF0000001</t>
  </si>
  <si>
    <t xml:space="preserve">09/09/2026</t>
  </si>
  <si>
    <t xml:space="preserve">5531019526</t>
  </si>
  <si>
    <t xml:space="preserve">NAZLI KILIÇ ŞİRİN</t>
  </si>
  <si>
    <t xml:space="preserve">202609202609</t>
  </si>
  <si>
    <t xml:space="preserve">2026091013QAE0000003</t>
  </si>
  <si>
    <t xml:space="preserve">2026090913QAE0000001</t>
  </si>
  <si>
    <t xml:space="preserve">4340781285</t>
  </si>
  <si>
    <t xml:space="preserve">OKTAY GÜNEŞ</t>
  </si>
  <si>
    <t xml:space="preserve">2026091013QAE0000001</t>
  </si>
  <si>
    <t xml:space="preserve">4150252326</t>
  </si>
  <si>
    <t xml:space="preserve">VOLKAN GÜLDAŞ</t>
  </si>
  <si>
    <t xml:space="preserve">2026090713QAB0000003</t>
  </si>
  <si>
    <t xml:space="preserve">1911284945</t>
  </si>
  <si>
    <t xml:space="preserve">TASF.HAL.BURSA LAND ARAÇ KİRALAMA VE TURİZM LİMİTED ŞİRKETİ</t>
  </si>
  <si>
    <t xml:space="preserve">2026071413QAB0000006</t>
  </si>
  <si>
    <t xml:space="preserve">1910023314</t>
  </si>
  <si>
    <t xml:space="preserve">BURSA BÜYÜKŞEHİR BELEDİYE BAŞKANLIĞI</t>
  </si>
  <si>
    <t xml:space="preserve">2026071413QAB0000007</t>
  </si>
  <si>
    <t xml:space="preserve">1750895073</t>
  </si>
  <si>
    <t xml:space="preserve">BİLKAS MAKİNE TARIM TEKSTİL İTHALAT İHRACAT LİMİTED ŞİRKETİ</t>
  </si>
  <si>
    <t xml:space="preserve">2026091013QAB0000002</t>
  </si>
  <si>
    <t xml:space="preserve">1470324006</t>
  </si>
  <si>
    <t xml:space="preserve">HAKAN BAŞKARA</t>
  </si>
  <si>
    <t xml:space="preserve">2026091013QAB0000001</t>
  </si>
  <si>
    <t xml:space="preserve">2026090813QAB0000005</t>
  </si>
  <si>
    <t xml:space="preserve">08/09/2026</t>
  </si>
  <si>
    <t xml:space="preserve">1460931716</t>
  </si>
  <si>
    <t xml:space="preserve">BAŞAT EĞİTİM HİZMETLERİ YAYINCILIK TİCARET LİMİTED ŞİRKETİ</t>
  </si>
  <si>
    <t xml:space="preserve">2026091013QAB0000005</t>
  </si>
  <si>
    <t xml:space="preserve">1080761002</t>
  </si>
  <si>
    <t xml:space="preserve">ÖZGE AYAYDIN</t>
  </si>
  <si>
    <t xml:space="preserve">2026091013QAB0000007</t>
  </si>
  <si>
    <t xml:space="preserve">2026091013QAB0000003</t>
  </si>
  <si>
    <t xml:space="preserve">2026091013QAB0000004</t>
  </si>
  <si>
    <t xml:space="preserve">2026091013QAB0000006</t>
  </si>
  <si>
    <t xml:space="preserve">2026091013QAB0000008</t>
  </si>
  <si>
    <t xml:space="preserve">1080729535</t>
  </si>
  <si>
    <t xml:space="preserve">MERVE AYAN</t>
  </si>
  <si>
    <t xml:space="preserve">2026091013QAB0000009</t>
  </si>
  <si>
    <t xml:space="preserve">2026091013QAB0000010</t>
  </si>
  <si>
    <t xml:space="preserve">2026091013QAB0000011</t>
  </si>
  <si>
    <t xml:space="preserve">2026091013QAB0000012</t>
  </si>
  <si>
    <t xml:space="preserve">2026091013QAB0000013</t>
  </si>
  <si>
    <t xml:space="preserve">2026091013QAB0000014</t>
  </si>
  <si>
    <t xml:space="preserve">2026091013QAB0000015</t>
  </si>
  <si>
    <t xml:space="preserve">2026091013QAB0000016</t>
  </si>
  <si>
    <t xml:space="preserve">2026091013QAB0000017</t>
  </si>
  <si>
    <t xml:space="preserve">2026091013QAB0000018</t>
  </si>
  <si>
    <t xml:space="preserve">2026091013QAB0000019</t>
  </si>
  <si>
    <t xml:space="preserve">2026091013QAB0000020</t>
  </si>
  <si>
    <t xml:space="preserve">2026091013QAB0000021</t>
  </si>
  <si>
    <t xml:space="preserve">2026091013QAB0000022</t>
  </si>
  <si>
    <t xml:space="preserve">2026091013QAB0000023</t>
  </si>
  <si>
    <t xml:space="preserve">2026091013QAB0000024</t>
  </si>
  <si>
    <t xml:space="preserve">2026091013QAB0000025</t>
  </si>
  <si>
    <t xml:space="preserve">2026091013QAB0000026</t>
  </si>
  <si>
    <t xml:space="preserve">2026091013QAB0000027</t>
  </si>
  <si>
    <t xml:space="preserve">2026091013QAB0000028</t>
  </si>
  <si>
    <t xml:space="preserve">2026091013QAB0000029</t>
  </si>
  <si>
    <t xml:space="preserve">2026091013QAB0000030</t>
  </si>
  <si>
    <t xml:space="preserve">2026091013QAB0000031</t>
  </si>
  <si>
    <t xml:space="preserve">2026091013QAB0000032</t>
  </si>
  <si>
    <t xml:space="preserve">2026091013QAB0000033</t>
  </si>
  <si>
    <t xml:space="preserve">2026091013QAB0000034</t>
  </si>
  <si>
    <t xml:space="preserve">2026091013QAB0000035</t>
  </si>
  <si>
    <t xml:space="preserve">2026091013QAB0000036</t>
  </si>
  <si>
    <t xml:space="preserve">2026091013QAB0000037</t>
  </si>
  <si>
    <t xml:space="preserve">2026091013QAB0000038</t>
  </si>
  <si>
    <t xml:space="preserve">2026091013QAB0000039</t>
  </si>
  <si>
    <t xml:space="preserve">2026091013QAA0000001</t>
  </si>
  <si>
    <t xml:space="preserve">0880179858</t>
  </si>
  <si>
    <t xml:space="preserve">İSMAİL ASLAN</t>
  </si>
  <si>
    <t xml:space="preserve">2026091013QAA0000003</t>
  </si>
  <si>
    <t xml:space="preserve">2026091013QAA0000002</t>
  </si>
  <si>
    <t xml:space="preserve">2026050813QAA0000001</t>
  </si>
  <si>
    <t xml:space="preserve">08/05/2026</t>
  </si>
  <si>
    <t xml:space="preserve">2026090913QAA0000005</t>
  </si>
  <si>
    <t xml:space="preserve">0440472690</t>
  </si>
  <si>
    <t xml:space="preserve">BURAK AKYILDIZ</t>
  </si>
  <si>
    <t xml:space="preserve">2026090213QAA0000006</t>
  </si>
  <si>
    <t xml:space="preserve">02/09/2026</t>
  </si>
  <si>
    <t xml:space="preserve">0370062892</t>
  </si>
  <si>
    <t xml:space="preserve">AHMET AKSU</t>
  </si>
  <si>
    <t xml:space="preserve">2026090213QAA0000005</t>
  </si>
  <si>
    <t xml:space="preserve">2026090213QAA0000007</t>
  </si>
  <si>
    <t xml:space="preserve">06.02 - Düzenlenmiş Olmasına Rağmen Tebliğ Edilmeyen İhbarnameler Listesi</t>
  </si>
  <si>
    <t xml:space="preserve">2024082613QAI0000001</t>
  </si>
  <si>
    <t xml:space="preserve">26/08/2024</t>
  </si>
  <si>
    <t xml:space="preserve">8370622335</t>
  </si>
  <si>
    <t xml:space="preserve">ALİYE TEMEL</t>
  </si>
  <si>
    <t xml:space="preserve">2025030513QAH0000001</t>
  </si>
  <si>
    <t xml:space="preserve">05/03/2025</t>
  </si>
  <si>
    <t xml:space="preserve">7290013398</t>
  </si>
  <si>
    <t xml:space="preserve">SEDAT PETMEZCİ</t>
  </si>
  <si>
    <t xml:space="preserve">2025031413QAB0000004</t>
  </si>
  <si>
    <t xml:space="preserve">14/03/2025</t>
  </si>
  <si>
    <t xml:space="preserve">1150589522</t>
  </si>
  <si>
    <t xml:space="preserve">RENAN AYDIN</t>
  </si>
  <si>
    <t xml:space="preserve">2025032713QAF0000001</t>
  </si>
  <si>
    <t xml:space="preserve">5450426592</t>
  </si>
  <si>
    <t xml:space="preserve">HİDAYET KESER</t>
  </si>
  <si>
    <t xml:space="preserve">2025070213QAE0000001</t>
  </si>
  <si>
    <t xml:space="preserve">02/07/2025</t>
  </si>
  <si>
    <t xml:space="preserve">4150460154</t>
  </si>
  <si>
    <t xml:space="preserve">METİN GÜLBEYAZ</t>
  </si>
  <si>
    <t xml:space="preserve">2025090413QAJ0000004</t>
  </si>
  <si>
    <t xml:space="preserve">04/09/2025</t>
  </si>
  <si>
    <t xml:space="preserve">9971485049</t>
  </si>
  <si>
    <t xml:space="preserve">İFLAS HAL.ZEMHERİ TEKSTİL KİMYA HIRDAVAT MAKİNA SANAYİ VE DIŞ TİCARET LİMİTED ŞİRKETİ</t>
  </si>
  <si>
    <t xml:space="preserve">2025090813QAJ0000001</t>
  </si>
  <si>
    <t xml:space="preserve">08/09/2025</t>
  </si>
  <si>
    <t xml:space="preserve">2025091513QAJ0000001</t>
  </si>
  <si>
    <t xml:space="preserve">15/09/2025</t>
  </si>
  <si>
    <t xml:space="preserve">2025102213QAA0000004</t>
  </si>
  <si>
    <t xml:space="preserve">22/10/2025</t>
  </si>
  <si>
    <t xml:space="preserve">0021353191</t>
  </si>
  <si>
    <t xml:space="preserve">ZEKERİYA ABDULRAHMAN</t>
  </si>
  <si>
    <t xml:space="preserve">2025102813QAG0000001</t>
  </si>
  <si>
    <t xml:space="preserve">28/10/2025</t>
  </si>
  <si>
    <t xml:space="preserve">6490690543</t>
  </si>
  <si>
    <t xml:space="preserve">CİHAD OYMAN</t>
  </si>
  <si>
    <t xml:space="preserve">0012</t>
  </si>
  <si>
    <t xml:space="preserve">2025112013QAH0000012</t>
  </si>
  <si>
    <t xml:space="preserve">20/11/2025</t>
  </si>
  <si>
    <t xml:space="preserve">2025112013QAI0000002</t>
  </si>
  <si>
    <t xml:space="preserve">8330555240</t>
  </si>
  <si>
    <t xml:space="preserve">EMİNE ÇOBANOĞLU</t>
  </si>
  <si>
    <t xml:space="preserve">2025112013QAI0000005</t>
  </si>
  <si>
    <t xml:space="preserve">8230258626</t>
  </si>
  <si>
    <t xml:space="preserve">MEHTAP KÖROĞLU</t>
  </si>
  <si>
    <t xml:space="preserve">2025112013QAJ0000020</t>
  </si>
  <si>
    <t xml:space="preserve">9610119130</t>
  </si>
  <si>
    <t xml:space="preserve">AYŞE HİKMET YILDIZ</t>
  </si>
  <si>
    <t xml:space="preserve">2025112013QAJ0000022</t>
  </si>
  <si>
    <t xml:space="preserve">9650206406</t>
  </si>
  <si>
    <t xml:space="preserve">TALAT YILDIZ</t>
  </si>
  <si>
    <t xml:space="preserve">2025112513QAG0000013</t>
  </si>
  <si>
    <t xml:space="preserve">25/11/2025</t>
  </si>
  <si>
    <t xml:space="preserve">6360887082</t>
  </si>
  <si>
    <t xml:space="preserve">OĞUZHAN KAFE İNŞAAT VE TİCARET LİMİTED ŞİRKETİ</t>
  </si>
  <si>
    <t xml:space="preserve">2025112513QAG0000016</t>
  </si>
  <si>
    <t xml:space="preserve">2025112513QAG0000017</t>
  </si>
  <si>
    <t xml:space="preserve">2025120313QAJ0000003</t>
  </si>
  <si>
    <t xml:space="preserve">03/12/2025</t>
  </si>
  <si>
    <t xml:space="preserve">9710026989</t>
  </si>
  <si>
    <t xml:space="preserve">İSMAİL YILMAZ</t>
  </si>
  <si>
    <t xml:space="preserve">2025120513QAI0000012</t>
  </si>
  <si>
    <t xml:space="preserve">05/12/2025</t>
  </si>
  <si>
    <t xml:space="preserve">8860728393</t>
  </si>
  <si>
    <t xml:space="preserve">MUSTAFA UĞURLU</t>
  </si>
  <si>
    <t xml:space="preserve">2025120513QAI0000013</t>
  </si>
  <si>
    <t xml:space="preserve">2025121513QAG0000001</t>
  </si>
  <si>
    <t xml:space="preserve">15/12/2025</t>
  </si>
  <si>
    <t xml:space="preserve">6081778813</t>
  </si>
  <si>
    <t xml:space="preserve">LAP İNŞAAT TAAHHÜT TİCARET LİMİTED ŞİRKETİ</t>
  </si>
  <si>
    <t xml:space="preserve">2025122613QAB0000004</t>
  </si>
  <si>
    <t xml:space="preserve">1911195898</t>
  </si>
  <si>
    <t xml:space="preserve">TASF.HAL.BURSA TUĞBA TEKSTİL TASARIM SANAYİ TİCARET ANONİM ŞİRKETİ</t>
  </si>
  <si>
    <t xml:space="preserve">2026010913QAI0000001</t>
  </si>
  <si>
    <t xml:space="preserve">09/01/2026</t>
  </si>
  <si>
    <t xml:space="preserve">8350089917</t>
  </si>
  <si>
    <t xml:space="preserve">RAMAZAN TEKİN</t>
  </si>
  <si>
    <t xml:space="preserve">2026022613QAC0000008</t>
  </si>
  <si>
    <t xml:space="preserve">26/02/2026</t>
  </si>
  <si>
    <t xml:space="preserve">2091451885</t>
  </si>
  <si>
    <t xml:space="preserve">AMINE CHEHADE</t>
  </si>
  <si>
    <t xml:space="preserve">2026022613QAC0000009</t>
  </si>
  <si>
    <t xml:space="preserve">2026022613QAC0000010</t>
  </si>
  <si>
    <t xml:space="preserve">2026022613QAC0000011</t>
  </si>
  <si>
    <t xml:space="preserve">2026022613QAC0000012</t>
  </si>
  <si>
    <t xml:space="preserve">2026022613QAC0000013</t>
  </si>
  <si>
    <t xml:space="preserve">2026022613QAC0000014</t>
  </si>
  <si>
    <t xml:space="preserve">2026030913QAG0000002</t>
  </si>
  <si>
    <t xml:space="preserve">09/03/2026</t>
  </si>
  <si>
    <t xml:space="preserve">6321119312</t>
  </si>
  <si>
    <t xml:space="preserve">TASF.HAL.NYS KAUÇUK METAL ÜRÜNLERİ SANAYİ VE TİCARET LİMİTED ŞİRKETİ</t>
  </si>
  <si>
    <t xml:space="preserve">2026041113QAG0000002</t>
  </si>
  <si>
    <t xml:space="preserve">11/04/2026</t>
  </si>
  <si>
    <t xml:space="preserve">6090208183</t>
  </si>
  <si>
    <t xml:space="preserve">TASF.HAL.M.K TEKSTİL TURİZM GIDA İNŞAAT SERVİS TAŞIMACILIĞI NAKLİYE SANAYİ VE TİCARET LİMİTED ŞİRKET</t>
  </si>
  <si>
    <t xml:space="preserve">2026042413QAG0000003</t>
  </si>
  <si>
    <t xml:space="preserve">24/04/2026</t>
  </si>
  <si>
    <t xml:space="preserve">2026042413QAG0000004</t>
  </si>
  <si>
    <t xml:space="preserve">2026052613QAG0000002</t>
  </si>
  <si>
    <t xml:space="preserve">6312100185</t>
  </si>
  <si>
    <t xml:space="preserve">NEVA BURSA ORMAN ÜRÜNLERİ SANAYİ TİCARET LİMİTED ŞİRKETİ</t>
  </si>
  <si>
    <t xml:space="preserve">2026060313QAB0000004</t>
  </si>
  <si>
    <t xml:space="preserve">03/06/2026</t>
  </si>
  <si>
    <t xml:space="preserve">2026060413QAG0000001</t>
  </si>
  <si>
    <t xml:space="preserve">04/06/2026</t>
  </si>
  <si>
    <t xml:space="preserve">2026060613QAJ0000003</t>
  </si>
  <si>
    <t xml:space="preserve">06/06/2026</t>
  </si>
  <si>
    <t xml:space="preserve">9640038376</t>
  </si>
  <si>
    <t xml:space="preserve">MEHMET SIDDIK YILDIZ</t>
  </si>
  <si>
    <t xml:space="preserve">2026060613QAJ0000004</t>
  </si>
  <si>
    <t xml:space="preserve">9640461276</t>
  </si>
  <si>
    <t xml:space="preserve">NURİ YILDIZ</t>
  </si>
  <si>
    <t xml:space="preserve">2026060613QAJ0000006</t>
  </si>
  <si>
    <t xml:space="preserve">9810583002</t>
  </si>
  <si>
    <t xml:space="preserve">SİBEL ÇABUK</t>
  </si>
  <si>
    <t xml:space="preserve">2026060613QAJ0000007</t>
  </si>
  <si>
    <t xml:space="preserve">9900201181</t>
  </si>
  <si>
    <t xml:space="preserve">HATİCE YÜCEL</t>
  </si>
  <si>
    <t xml:space="preserve">2026060813QAG0000004</t>
  </si>
  <si>
    <t xml:space="preserve">6600574033</t>
  </si>
  <si>
    <t xml:space="preserve">ABDULKADİR AGAOĞLU</t>
  </si>
  <si>
    <t xml:space="preserve">2026060813QAG0000005</t>
  </si>
  <si>
    <t xml:space="preserve">2026060813QAJ0000002</t>
  </si>
  <si>
    <t xml:space="preserve">9590294004</t>
  </si>
  <si>
    <t xml:space="preserve">SONA YILDIRIM</t>
  </si>
  <si>
    <t xml:space="preserve">2026060813QAJ0000004</t>
  </si>
  <si>
    <t xml:space="preserve">9700291293</t>
  </si>
  <si>
    <t xml:space="preserve">HÜSEYİN YILMAZ</t>
  </si>
  <si>
    <t xml:space="preserve">2026060813QAJ0000005</t>
  </si>
  <si>
    <t xml:space="preserve">9730369774</t>
  </si>
  <si>
    <t xml:space="preserve">MUSTAFA YILMAZ</t>
  </si>
  <si>
    <t xml:space="preserve">2026060813QAJ0000008</t>
  </si>
  <si>
    <t xml:space="preserve">9520591931</t>
  </si>
  <si>
    <t xml:space="preserve">DÖNDÜ YEŞİLYURT</t>
  </si>
  <si>
    <t xml:space="preserve">2026060813QAJ0000009</t>
  </si>
  <si>
    <t xml:space="preserve">9520735167</t>
  </si>
  <si>
    <t xml:space="preserve">HARUN YETGİN</t>
  </si>
  <si>
    <t xml:space="preserve">2026060813QAJ0000011</t>
  </si>
  <si>
    <t xml:space="preserve">9650480390</t>
  </si>
  <si>
    <t xml:space="preserve">BETÜL YILDIZHAN</t>
  </si>
  <si>
    <t xml:space="preserve">2026060813QAJ0000013</t>
  </si>
  <si>
    <t xml:space="preserve">9980530970</t>
  </si>
  <si>
    <t xml:space="preserve">HAKTAN EMRE ZEYREK</t>
  </si>
  <si>
    <t xml:space="preserve">2026060813QAJ0000014</t>
  </si>
  <si>
    <t xml:space="preserve">9990619153</t>
  </si>
  <si>
    <t xml:space="preserve">HÜSEYİN ZÜMRÜT</t>
  </si>
  <si>
    <t xml:space="preserve">2026061213QAJ0000001</t>
  </si>
  <si>
    <t xml:space="preserve">12/06/2026</t>
  </si>
  <si>
    <t xml:space="preserve">9440226355</t>
  </si>
  <si>
    <t xml:space="preserve">EMRE DENİZ YAZGAN</t>
  </si>
  <si>
    <t xml:space="preserve">2026062713QAA0000011</t>
  </si>
  <si>
    <t xml:space="preserve">27/06/2026</t>
  </si>
  <si>
    <t xml:space="preserve">0950143582</t>
  </si>
  <si>
    <t xml:space="preserve">LEVENT ATAKOL</t>
  </si>
  <si>
    <t xml:space="preserve">2026062713QAD0000005</t>
  </si>
  <si>
    <t xml:space="preserve">3241153442</t>
  </si>
  <si>
    <t xml:space="preserve">ECZACI VE TÜM KAMU SAĞLIK PROFESYONELLERİ SENDİKASI</t>
  </si>
  <si>
    <t xml:space="preserve">2026062713QAH0000018</t>
  </si>
  <si>
    <t xml:space="preserve">7750091477</t>
  </si>
  <si>
    <t xml:space="preserve">OSMAN SOYDEMİR</t>
  </si>
  <si>
    <t xml:space="preserve">2026071413QAH0000001</t>
  </si>
  <si>
    <t xml:space="preserve">7680324565</t>
  </si>
  <si>
    <t xml:space="preserve">EREN SEZGEN</t>
  </si>
  <si>
    <t xml:space="preserve">2026071713QAH0000002</t>
  </si>
  <si>
    <t xml:space="preserve">17/07/2026</t>
  </si>
  <si>
    <t xml:space="preserve">7660213602</t>
  </si>
  <si>
    <t xml:space="preserve">ABDULAZİZ SEVİNÇ</t>
  </si>
  <si>
    <t xml:space="preserve">2026071713QAH0000003</t>
  </si>
  <si>
    <t xml:space="preserve">2026071713QAH0000004</t>
  </si>
  <si>
    <t xml:space="preserve">7990274979</t>
  </si>
  <si>
    <t xml:space="preserve">BARBAROZ SANLI</t>
  </si>
  <si>
    <t xml:space="preserve">2026072213QAC0000001</t>
  </si>
  <si>
    <t xml:space="preserve">22/07/2026</t>
  </si>
  <si>
    <t xml:space="preserve">2420905673</t>
  </si>
  <si>
    <t xml:space="preserve">AYŞE ÇEPNİ</t>
  </si>
  <si>
    <t xml:space="preserve">2026072213QAC0000003</t>
  </si>
  <si>
    <t xml:space="preserve">2690576725</t>
  </si>
  <si>
    <t xml:space="preserve">SEFA DALMIŞ</t>
  </si>
  <si>
    <t xml:space="preserve">2026072213QAD0000001</t>
  </si>
  <si>
    <t xml:space="preserve">3290900585</t>
  </si>
  <si>
    <t xml:space="preserve">NURCAN EKİNCİ</t>
  </si>
  <si>
    <t xml:space="preserve">2026072213QAD0000002</t>
  </si>
  <si>
    <t xml:space="preserve">3950276814</t>
  </si>
  <si>
    <t xml:space="preserve">İMDAT GİDER</t>
  </si>
  <si>
    <t xml:space="preserve">2026072213QAE0000001</t>
  </si>
  <si>
    <t xml:space="preserve">4000137565</t>
  </si>
  <si>
    <t xml:space="preserve">MESERRET ÜLKER GÖKÇEDAĞ</t>
  </si>
  <si>
    <t xml:space="preserve">2026072213QAI0000006</t>
  </si>
  <si>
    <t xml:space="preserve">8090128177</t>
  </si>
  <si>
    <t xml:space="preserve">RAMAZAN ŞENTÜRK</t>
  </si>
  <si>
    <t xml:space="preserve">2026072213QAI0000007</t>
  </si>
  <si>
    <t xml:space="preserve">2026072213QAI0000008</t>
  </si>
  <si>
    <t xml:space="preserve">2026072213QAI0000009</t>
  </si>
  <si>
    <t xml:space="preserve">2026072313QAD0000002</t>
  </si>
  <si>
    <t xml:space="preserve">23/07/2026</t>
  </si>
  <si>
    <t xml:space="preserve">3321134656</t>
  </si>
  <si>
    <t xml:space="preserve">FOUAD ELMAGHRABİ</t>
  </si>
  <si>
    <t xml:space="preserve">2026072313QAD0000004</t>
  </si>
  <si>
    <t xml:space="preserve">3880378106</t>
  </si>
  <si>
    <t xml:space="preserve">DİLEK FİLİZ</t>
  </si>
  <si>
    <t xml:space="preserve">2026072313QAD0000005</t>
  </si>
  <si>
    <t xml:space="preserve">3890349991</t>
  </si>
  <si>
    <t xml:space="preserve">SÜMEYYE GEÇİT</t>
  </si>
  <si>
    <t xml:space="preserve">2026072713QAF0000002</t>
  </si>
  <si>
    <t xml:space="preserve">27/07/2026</t>
  </si>
  <si>
    <t xml:space="preserve">5480824992</t>
  </si>
  <si>
    <t xml:space="preserve">ÇAĞAN ALP KETENCİ</t>
  </si>
  <si>
    <t xml:space="preserve">2026072713QAF0000003</t>
  </si>
  <si>
    <t xml:space="preserve">5420271316</t>
  </si>
  <si>
    <t xml:space="preserve">İBRAHİM KELEK</t>
  </si>
  <si>
    <t xml:space="preserve">2026072813QAG0000001</t>
  </si>
  <si>
    <t xml:space="preserve">28/07/2026</t>
  </si>
  <si>
    <t xml:space="preserve">0681767787</t>
  </si>
  <si>
    <t xml:space="preserve">BANA ALZEIN</t>
  </si>
  <si>
    <t xml:space="preserve">2026072813QAG0000002</t>
  </si>
  <si>
    <t xml:space="preserve">2700242472</t>
  </si>
  <si>
    <t xml:space="preserve">ABDULVAHAP DARILMAZ</t>
  </si>
  <si>
    <t xml:space="preserve">2026072813QAG0000003</t>
  </si>
  <si>
    <t xml:space="preserve">0591139957</t>
  </si>
  <si>
    <t xml:space="preserve">MAHMOD ALSHOKFH</t>
  </si>
  <si>
    <t xml:space="preserve">2026072813QAG0000004</t>
  </si>
  <si>
    <t xml:space="preserve">2026072813QAG0000006</t>
  </si>
  <si>
    <t xml:space="preserve">7351777760</t>
  </si>
  <si>
    <t xml:space="preserve">BADOUR RYHAWI</t>
  </si>
  <si>
    <t xml:space="preserve">2026072813QAG0000007</t>
  </si>
  <si>
    <t xml:space="preserve">2026072913QAB0000007</t>
  </si>
  <si>
    <t xml:space="preserve">29/07/2026</t>
  </si>
  <si>
    <t xml:space="preserve">1550035673</t>
  </si>
  <si>
    <t xml:space="preserve">LÜTFİ BAYRAK</t>
  </si>
  <si>
    <t xml:space="preserve">2026072913QAB0000009</t>
  </si>
  <si>
    <t xml:space="preserve">2026072913QAE0000006</t>
  </si>
  <si>
    <t xml:space="preserve">4030103666</t>
  </si>
  <si>
    <t xml:space="preserve">OSMAN GÖKKAYA</t>
  </si>
  <si>
    <t xml:space="preserve">2026072913QAE0000007</t>
  </si>
  <si>
    <t xml:space="preserve">2026073013QAB0000003</t>
  </si>
  <si>
    <t xml:space="preserve">2026080813QAA0000006</t>
  </si>
  <si>
    <t xml:space="preserve">0861656145</t>
  </si>
  <si>
    <t xml:space="preserve">TASF.HAL.ARZEK KALIP MAKİNA SANAYİ TİCARET LİMİTED ŞİRKETİ</t>
  </si>
  <si>
    <t xml:space="preserve">2026081013QAC0000001</t>
  </si>
  <si>
    <t xml:space="preserve">10/08/2026</t>
  </si>
  <si>
    <t xml:space="preserve">2930205456</t>
  </si>
  <si>
    <t xml:space="preserve">SERKAN DESTEGÜL</t>
  </si>
  <si>
    <t xml:space="preserve">2026081013QAD0000001</t>
  </si>
  <si>
    <t xml:space="preserve">3120348738</t>
  </si>
  <si>
    <t xml:space="preserve">SİNAN DÖNMEZ</t>
  </si>
  <si>
    <t xml:space="preserve">2026081213QAF0000003</t>
  </si>
  <si>
    <t xml:space="preserve">12/08/2026</t>
  </si>
  <si>
    <t xml:space="preserve">5130192347</t>
  </si>
  <si>
    <t xml:space="preserve">HASAN KARAKAŞ ORT.</t>
  </si>
  <si>
    <t xml:space="preserve">2026081913QAA0000001</t>
  </si>
  <si>
    <t xml:space="preserve">19/08/2026</t>
  </si>
  <si>
    <t xml:space="preserve">0090130133</t>
  </si>
  <si>
    <t xml:space="preserve">KENAN AĞGÜNLÜ</t>
  </si>
  <si>
    <t xml:space="preserve">2026082013QAJ0000002</t>
  </si>
  <si>
    <t xml:space="preserve">9480218371</t>
  </si>
  <si>
    <t xml:space="preserve">ERCAN YENER</t>
  </si>
  <si>
    <t xml:space="preserve">2026082113QAB0000007</t>
  </si>
  <si>
    <t xml:space="preserve">1980105968</t>
  </si>
  <si>
    <t xml:space="preserve">ŞEVKET CANBAZ</t>
  </si>
  <si>
    <t xml:space="preserve">2026082113QAB0000008</t>
  </si>
  <si>
    <t xml:space="preserve">7070073269</t>
  </si>
  <si>
    <t xml:space="preserve">SUNAY ÖZTAŞ</t>
  </si>
  <si>
    <t xml:space="preserve">2026082113QAB0000010</t>
  </si>
  <si>
    <t xml:space="preserve">1980107178</t>
  </si>
  <si>
    <t xml:space="preserve">HACER CANBAZ</t>
  </si>
  <si>
    <t xml:space="preserve">2026082113QAI0000001</t>
  </si>
  <si>
    <t xml:space="preserve">8190143094</t>
  </si>
  <si>
    <t xml:space="preserve">CAHİT TANER</t>
  </si>
  <si>
    <t xml:space="preserve">2026082113QAI0000005</t>
  </si>
  <si>
    <t xml:space="preserve">2026082113QAI0000008</t>
  </si>
  <si>
    <t xml:space="preserve">2026082413QAB0000005</t>
  </si>
  <si>
    <t xml:space="preserve">24/08/2026</t>
  </si>
  <si>
    <t xml:space="preserve">1550767150</t>
  </si>
  <si>
    <t xml:space="preserve">FATMA BAYLAN</t>
  </si>
  <si>
    <t xml:space="preserve">2026082713QAD0000001</t>
  </si>
  <si>
    <t xml:space="preserve">27/08/2026</t>
  </si>
  <si>
    <t xml:space="preserve">3230722975</t>
  </si>
  <si>
    <t xml:space="preserve">HÜSEYİN DÜZGÜN</t>
  </si>
  <si>
    <t xml:space="preserve">2026082713QAD0000002</t>
  </si>
  <si>
    <t xml:space="preserve">2026082713QAD0000003</t>
  </si>
  <si>
    <t xml:space="preserve">2026082713QAD0000004</t>
  </si>
  <si>
    <t xml:space="preserve">2026082713QAD0000005</t>
  </si>
  <si>
    <t xml:space="preserve">2026082713QAD0000007</t>
  </si>
  <si>
    <t xml:space="preserve">2026082713QAD0000008</t>
  </si>
  <si>
    <t xml:space="preserve">2026082713QAD0000009</t>
  </si>
  <si>
    <t xml:space="preserve">2026082713QAD0000011</t>
  </si>
  <si>
    <t xml:space="preserve">2026082713QAD0000012</t>
  </si>
  <si>
    <t xml:space="preserve">2026082713QAD0000014</t>
  </si>
  <si>
    <t xml:space="preserve">2026090113QAC0000001</t>
  </si>
  <si>
    <t xml:space="preserve">2900370884</t>
  </si>
  <si>
    <t xml:space="preserve">ZEYNEP DEMİRTAŞ</t>
  </si>
  <si>
    <t xml:space="preserve">2026090113QAC0000002</t>
  </si>
  <si>
    <t xml:space="preserve">2440809963</t>
  </si>
  <si>
    <t xml:space="preserve">NURAN GÜVENÇ</t>
  </si>
  <si>
    <t xml:space="preserve">2026090113QAC0000003</t>
  </si>
  <si>
    <t xml:space="preserve">2026090113QAC0000004</t>
  </si>
  <si>
    <t xml:space="preserve">2026090113QAC0000005</t>
  </si>
  <si>
    <t xml:space="preserve">2026090113QAC0000006</t>
  </si>
  <si>
    <t xml:space="preserve">2026090113QAC0000007</t>
  </si>
  <si>
    <t xml:space="preserve">2026090113QAC0000008</t>
  </si>
  <si>
    <t xml:space="preserve">2026090113QAC0000009</t>
  </si>
  <si>
    <t xml:space="preserve">2026090113QAC0000010</t>
  </si>
  <si>
    <t xml:space="preserve">2026090113QAC0000011</t>
  </si>
  <si>
    <t xml:space="preserve">2026090113QAC0000012</t>
  </si>
  <si>
    <t xml:space="preserve">2026090113QAC0000013</t>
  </si>
  <si>
    <t xml:space="preserve">2026090113QAC0000014</t>
  </si>
  <si>
    <t xml:space="preserve">2026090113QAC0000015</t>
  </si>
  <si>
    <t xml:space="preserve">2026090113QAC0000016</t>
  </si>
  <si>
    <t xml:space="preserve">2026090113QAC0000017</t>
  </si>
  <si>
    <t xml:space="preserve">2026090113QAC0000018</t>
  </si>
  <si>
    <t xml:space="preserve">2026090113QAC0000019</t>
  </si>
  <si>
    <t xml:space="preserve">2026090113QAC0000020</t>
  </si>
  <si>
    <t xml:space="preserve">2026090113QAC0000021</t>
  </si>
  <si>
    <t xml:space="preserve">2026090113QAC0000022</t>
  </si>
  <si>
    <t xml:space="preserve">2026090113QAC0000023</t>
  </si>
  <si>
    <t xml:space="preserve">2026090113QAC0000024</t>
  </si>
  <si>
    <t xml:space="preserve">2026090113QAC0000025</t>
  </si>
  <si>
    <t xml:space="preserve">2026090113QAC0000026</t>
  </si>
  <si>
    <t xml:space="preserve">2026090113QAC0000027</t>
  </si>
  <si>
    <t xml:space="preserve">2026090113QAC0000028</t>
  </si>
  <si>
    <t xml:space="preserve">2026090113QAC0000029</t>
  </si>
  <si>
    <t xml:space="preserve">2026090113QAC0000030</t>
  </si>
  <si>
    <t xml:space="preserve">2026090113QAI0000001</t>
  </si>
  <si>
    <t xml:space="preserve">2026090113QAI0000002</t>
  </si>
  <si>
    <t xml:space="preserve">2026090113QAI0000004</t>
  </si>
  <si>
    <t xml:space="preserve">2026090113QAI0000005</t>
  </si>
  <si>
    <t xml:space="preserve">2026090113QAI0000006</t>
  </si>
  <si>
    <t xml:space="preserve">2026090313QAA0000003</t>
  </si>
  <si>
    <t xml:space="preserve">03/09/2026</t>
  </si>
  <si>
    <t xml:space="preserve">0470515355</t>
  </si>
  <si>
    <t xml:space="preserve">SERHAT ALABAY</t>
  </si>
  <si>
    <t xml:space="preserve">2026090313QAA0000004</t>
  </si>
  <si>
    <t xml:space="preserve">0360082823</t>
  </si>
  <si>
    <t xml:space="preserve">SAİT AKSOY</t>
  </si>
  <si>
    <t xml:space="preserve">2026090313QAA0000005</t>
  </si>
  <si>
    <t xml:space="preserve">0020333849</t>
  </si>
  <si>
    <t xml:space="preserve">AYŞE YILDIZ</t>
  </si>
  <si>
    <t xml:space="preserve">2026090313QAA0000006</t>
  </si>
  <si>
    <t xml:space="preserve">0520264630</t>
  </si>
  <si>
    <t xml:space="preserve">İSMAİL ALGÜN</t>
  </si>
  <si>
    <t xml:space="preserve">2026090313QAA0000007</t>
  </si>
  <si>
    <t xml:space="preserve">0510130955</t>
  </si>
  <si>
    <t xml:space="preserve">MUSTAFA ALFATLI</t>
  </si>
  <si>
    <t xml:space="preserve">2026090713QAE0000001</t>
  </si>
  <si>
    <t xml:space="preserve">4480240382</t>
  </si>
  <si>
    <t xml:space="preserve">HALİL İBRAHİM GÜRSOY</t>
  </si>
  <si>
    <t xml:space="preserve">2026090713QAE0000002</t>
  </si>
  <si>
    <t xml:space="preserve">4950614627</t>
  </si>
  <si>
    <t xml:space="preserve">EMİR KANDARA</t>
  </si>
  <si>
    <t xml:space="preserve">2026090813QAA0000006</t>
  </si>
  <si>
    <t xml:space="preserve">0800091732</t>
  </si>
  <si>
    <t xml:space="preserve">BURHAN ARPACI</t>
  </si>
  <si>
    <t xml:space="preserve">2026090813QAA0000007</t>
  </si>
  <si>
    <t xml:space="preserve">0091749119</t>
  </si>
  <si>
    <t xml:space="preserve">AFFİRMA TEKSTİL İHRACAT VE İTHALAT LİMİTED ŞİRKETİ</t>
  </si>
  <si>
    <t xml:space="preserve">2026090813QAA0000008</t>
  </si>
  <si>
    <t xml:space="preserve">0102344035</t>
  </si>
  <si>
    <t xml:space="preserve">AHMET TAGU TAKI TASARIM TURİZM SANAYİ VE TİCARET LİMİTED ŞİRKETİ</t>
  </si>
  <si>
    <t xml:space="preserve">2026090813QAA0000014</t>
  </si>
  <si>
    <t xml:space="preserve">0861687115</t>
  </si>
  <si>
    <t xml:space="preserve">ASKASAN TEKSTİL İNŞAAT OTOMOTİV VE SANAYİ TİCARET LİMİTED ŞİRKETİ</t>
  </si>
  <si>
    <t xml:space="preserve">2026090813QAB0000006</t>
  </si>
  <si>
    <t xml:space="preserve">1191284537</t>
  </si>
  <si>
    <t xml:space="preserve">AYETİ HİRANUR TURİZM LİMİTED ŞİRKETİ</t>
  </si>
  <si>
    <t xml:space="preserve">2026090813QAB0000007</t>
  </si>
  <si>
    <t xml:space="preserve">1220939998</t>
  </si>
  <si>
    <t xml:space="preserve">AYKUT MODA TEKSTİL SANAYİ VE TİCARET LİMİTED ŞİRKETİ</t>
  </si>
  <si>
    <t xml:space="preserve">2026090813QAB0000008</t>
  </si>
  <si>
    <t xml:space="preserve">1271295736</t>
  </si>
  <si>
    <t xml:space="preserve">AZİZ 16 TEKSTİL EMLAK GIDA İTHALAT İHRACAT SANAYİ TİCARET LİMİTED ŞİRKETİ</t>
  </si>
  <si>
    <t xml:space="preserve">2026090813QAB0000009</t>
  </si>
  <si>
    <t xml:space="preserve">1560886543</t>
  </si>
  <si>
    <t xml:space="preserve">BAYRAKER ÖRME TEKSTİL SANAYİ VE TİCARET LİMİTED ŞİRKETİ</t>
  </si>
  <si>
    <t xml:space="preserve">06.03 - Tebliğ Edilmiş Olmasına Rağmen Tahakkuku Verilmeyen İhbarnameler Listesi</t>
  </si>
  <si>
    <t xml:space="preserve">2024041813QAE0000001</t>
  </si>
  <si>
    <t xml:space="preserve">18/04/2024</t>
  </si>
  <si>
    <t xml:space="preserve">4190638275</t>
  </si>
  <si>
    <t xml:space="preserve">SİNAN GÜLER</t>
  </si>
  <si>
    <t xml:space="preserve">30/04/2024</t>
  </si>
  <si>
    <t xml:space="preserve">2024070513QAE0000001</t>
  </si>
  <si>
    <t xml:space="preserve">05/07/2024</t>
  </si>
  <si>
    <t xml:space="preserve">4620046422</t>
  </si>
  <si>
    <t xml:space="preserve">HİDROTEK HORTUM SANAYİ VE TİCARET LİMİTED ŞİRKETİ</t>
  </si>
  <si>
    <t xml:space="preserve">4047</t>
  </si>
  <si>
    <t xml:space="preserve">14/07/2024</t>
  </si>
  <si>
    <t xml:space="preserve">2024081613QAD0000001</t>
  </si>
  <si>
    <t xml:space="preserve">16/08/2024</t>
  </si>
  <si>
    <t xml:space="preserve">3530607642</t>
  </si>
  <si>
    <t xml:space="preserve">ÖZLEM ÖZAY</t>
  </si>
  <si>
    <t xml:space="preserve">18/09/2024</t>
  </si>
  <si>
    <t xml:space="preserve">2024090213QAD0000001</t>
  </si>
  <si>
    <t xml:space="preserve">02/09/2024</t>
  </si>
  <si>
    <t xml:space="preserve">3690365308</t>
  </si>
  <si>
    <t xml:space="preserve">ABDURRAHİM CAN</t>
  </si>
  <si>
    <t xml:space="preserve">11/09/2024</t>
  </si>
  <si>
    <t xml:space="preserve">2024091613QAE0000022</t>
  </si>
  <si>
    <t xml:space="preserve">16/09/2024</t>
  </si>
  <si>
    <t xml:space="preserve">4630210669</t>
  </si>
  <si>
    <t xml:space="preserve">FETİH HOROZ</t>
  </si>
  <si>
    <t xml:space="preserve">10/12/2024</t>
  </si>
  <si>
    <t xml:space="preserve">2024112713QAE0000002</t>
  </si>
  <si>
    <t xml:space="preserve">27/11/2024</t>
  </si>
  <si>
    <t xml:space="preserve">4860413369</t>
  </si>
  <si>
    <t xml:space="preserve">İLHAN KADI</t>
  </si>
  <si>
    <t xml:space="preserve">09/11/2025</t>
  </si>
  <si>
    <t xml:space="preserve">2024120913QAE0000001</t>
  </si>
  <si>
    <t xml:space="preserve">09/12/2024</t>
  </si>
  <si>
    <t xml:space="preserve">4580073659</t>
  </si>
  <si>
    <t xml:space="preserve">MEHMETALİ HASAN</t>
  </si>
  <si>
    <t xml:space="preserve">15/12/2024</t>
  </si>
  <si>
    <t xml:space="preserve">2025010313QAD0000001</t>
  </si>
  <si>
    <t xml:space="preserve">03/01/2025</t>
  </si>
  <si>
    <t xml:space="preserve">3311537210</t>
  </si>
  <si>
    <t xml:space="preserve">VALENCİA GROUP COMPANY TEKSTİL LİMİTED ŞİRKETİ</t>
  </si>
  <si>
    <t xml:space="preserve">08/01/2025</t>
  </si>
  <si>
    <t xml:space="preserve">2025010813QAE0000002</t>
  </si>
  <si>
    <t xml:space="preserve">4960055584</t>
  </si>
  <si>
    <t xml:space="preserve">GANİME KANGAL</t>
  </si>
  <si>
    <t xml:space="preserve">18/01/2025</t>
  </si>
  <si>
    <t xml:space="preserve">2025041813QAB0000001</t>
  </si>
  <si>
    <t xml:space="preserve">18/04/2025</t>
  </si>
  <si>
    <t xml:space="preserve">1601565725</t>
  </si>
  <si>
    <t xml:space="preserve">BEBEKE TEKSTİL İTHALAT VE İHRACAT SANAYİ TİCARET LİMİTED ŞİRKETİ</t>
  </si>
  <si>
    <t xml:space="preserve">26/04/2025</t>
  </si>
  <si>
    <t xml:space="preserve">2025042413QAD0000001</t>
  </si>
  <si>
    <t xml:space="preserve">24/04/2025</t>
  </si>
  <si>
    <t xml:space="preserve">3951073359</t>
  </si>
  <si>
    <t xml:space="preserve">TAMER GİDİCİ</t>
  </si>
  <si>
    <t xml:space="preserve">29/04/2025</t>
  </si>
  <si>
    <t xml:space="preserve">2025042913QAD0000005</t>
  </si>
  <si>
    <t xml:space="preserve">3331242693</t>
  </si>
  <si>
    <t xml:space="preserve">HÜSEYİN ELŞEYH</t>
  </si>
  <si>
    <t xml:space="preserve">11/05/2025</t>
  </si>
  <si>
    <t xml:space="preserve">2025062613QAD0000001</t>
  </si>
  <si>
    <t xml:space="preserve">26/06/2025</t>
  </si>
  <si>
    <t xml:space="preserve">3961431759</t>
  </si>
  <si>
    <t xml:space="preserve">GİZA JAKAR İPLİK TEKSTİL SANAYİ TİCARET LİMİTED ŞİRKETİ</t>
  </si>
  <si>
    <t xml:space="preserve">05/07/2025</t>
  </si>
  <si>
    <t xml:space="preserve">2025080613QAA0000056</t>
  </si>
  <si>
    <t xml:space="preserve">06/08/2025</t>
  </si>
  <si>
    <t xml:space="preserve">4811115286</t>
  </si>
  <si>
    <t xml:space="preserve">İBRAHİM İSSA</t>
  </si>
  <si>
    <t xml:space="preserve">202201202204</t>
  </si>
  <si>
    <t xml:space="preserve">31/08/2025</t>
  </si>
  <si>
    <t xml:space="preserve">2025091013QAE0000002</t>
  </si>
  <si>
    <t xml:space="preserve">10/09/2025</t>
  </si>
  <si>
    <t xml:space="preserve">4880168979</t>
  </si>
  <si>
    <t xml:space="preserve">VASFİYE KAHRAMAN</t>
  </si>
  <si>
    <t xml:space="preserve">01/10/2025</t>
  </si>
  <si>
    <t xml:space="preserve">2025091113QAF0000007</t>
  </si>
  <si>
    <t xml:space="preserve">11/09/2025</t>
  </si>
  <si>
    <t xml:space="preserve">5300608918</t>
  </si>
  <si>
    <t xml:space="preserve">AYTEKİN KAYA</t>
  </si>
  <si>
    <t xml:space="preserve">27/09/2025</t>
  </si>
  <si>
    <t xml:space="preserve">2025091913QAH0000001</t>
  </si>
  <si>
    <t xml:space="preserve">19/09/2025</t>
  </si>
  <si>
    <t xml:space="preserve">2500117273</t>
  </si>
  <si>
    <t xml:space="preserve">AHMET ÇINAR</t>
  </si>
  <si>
    <t xml:space="preserve">202401202409</t>
  </si>
  <si>
    <t xml:space="preserve">2025102013QAF0000001</t>
  </si>
  <si>
    <t xml:space="preserve">20/10/2025</t>
  </si>
  <si>
    <t xml:space="preserve">5331458764</t>
  </si>
  <si>
    <t xml:space="preserve">MURAT KAYA</t>
  </si>
  <si>
    <t xml:space="preserve">25/10/2025</t>
  </si>
  <si>
    <t xml:space="preserve">2025102813QAF0000004</t>
  </si>
  <si>
    <t xml:space="preserve">02/11/2025</t>
  </si>
  <si>
    <t xml:space="preserve">2025110313QAB0000001</t>
  </si>
  <si>
    <t xml:space="preserve">03/11/2025</t>
  </si>
  <si>
    <t xml:space="preserve">12/11/2025</t>
  </si>
  <si>
    <t xml:space="preserve">2025110313QAB0000002</t>
  </si>
  <si>
    <t xml:space="preserve">2025111213QAB0000001</t>
  </si>
  <si>
    <t xml:space="preserve">1490113685</t>
  </si>
  <si>
    <t xml:space="preserve">CENGİZ BAT</t>
  </si>
  <si>
    <t xml:space="preserve">18/11/2025</t>
  </si>
  <si>
    <t xml:space="preserve">2025122913QAI0000001</t>
  </si>
  <si>
    <t xml:space="preserve">29/12/2025</t>
  </si>
  <si>
    <t xml:space="preserve">8680448175</t>
  </si>
  <si>
    <t xml:space="preserve">CEMİL TURAN</t>
  </si>
  <si>
    <t xml:space="preserve">14/01/2026</t>
  </si>
  <si>
    <t xml:space="preserve">2026010913QAC0000001</t>
  </si>
  <si>
    <t xml:space="preserve">2240484985</t>
  </si>
  <si>
    <t xml:space="preserve">GÜLHATUN ÇAKMAK</t>
  </si>
  <si>
    <t xml:space="preserve">17/01/2026</t>
  </si>
  <si>
    <t xml:space="preserve">2026010913QAC0000002</t>
  </si>
  <si>
    <t xml:space="preserve">2026011513QAG0000001</t>
  </si>
  <si>
    <t xml:space="preserve">15/01/2026</t>
  </si>
  <si>
    <t xml:space="preserve">6230406653</t>
  </si>
  <si>
    <t xml:space="preserve">MSL İÇ VE DIŞ TİCARET LİMİTED ŞİRKETİ</t>
  </si>
  <si>
    <t xml:space="preserve">21/01/2026</t>
  </si>
  <si>
    <t xml:space="preserve">2026022513QAE0000001</t>
  </si>
  <si>
    <t xml:space="preserve">25/02/2026</t>
  </si>
  <si>
    <t xml:space="preserve">4650439208</t>
  </si>
  <si>
    <t xml:space="preserve">INS MECH VERİMLİ ENERJİ SİSTEMLERİ OTOMASYON VE MEKATRONİK MÜHENDİSLİK HİZM.SAN.VE TİC.LTD.ŞTİ.</t>
  </si>
  <si>
    <t xml:space="preserve">2026030913QAB0000004</t>
  </si>
  <si>
    <t xml:space="preserve">1570221519</t>
  </si>
  <si>
    <t xml:space="preserve">ÖNDER BAYRAKTAR</t>
  </si>
  <si>
    <t xml:space="preserve">15/03/2026</t>
  </si>
  <si>
    <t xml:space="preserve">2026031913QAJ0000011</t>
  </si>
  <si>
    <t xml:space="preserve">19/03/2026</t>
  </si>
  <si>
    <t xml:space="preserve">9510160932</t>
  </si>
  <si>
    <t xml:space="preserve">SADIK YEŞİLOVA</t>
  </si>
  <si>
    <t xml:space="preserve">28/03/2026</t>
  </si>
  <si>
    <t xml:space="preserve">2026041513QAJ0000003</t>
  </si>
  <si>
    <t xml:space="preserve">9420606946</t>
  </si>
  <si>
    <t xml:space="preserve">MELİKE YAVUZ</t>
  </si>
  <si>
    <t xml:space="preserve">21/04/2026</t>
  </si>
  <si>
    <t xml:space="preserve">2026042413QAF0000016</t>
  </si>
  <si>
    <t xml:space="preserve">5200258563</t>
  </si>
  <si>
    <t xml:space="preserve">BÜNYAMİN KARASAKAL</t>
  </si>
  <si>
    <t xml:space="preserve">19/07/2026</t>
  </si>
  <si>
    <t xml:space="preserve">2026042413QAF0000017</t>
  </si>
  <si>
    <t xml:space="preserve">2026042413QAF0000018</t>
  </si>
  <si>
    <t xml:space="preserve">2026042413QAF0000031</t>
  </si>
  <si>
    <t xml:space="preserve">2026042413QAF0000032</t>
  </si>
  <si>
    <t xml:space="preserve">2026042413QAF0000033</t>
  </si>
  <si>
    <t xml:space="preserve">2026042713QAJ0000017</t>
  </si>
  <si>
    <t xml:space="preserve">27/04/2026</t>
  </si>
  <si>
    <t xml:space="preserve">2026042713QAJ0000023</t>
  </si>
  <si>
    <t xml:space="preserve">2026050613QAB0000002</t>
  </si>
  <si>
    <t xml:space="preserve">06/05/2026</t>
  </si>
  <si>
    <t xml:space="preserve">13/05/2026</t>
  </si>
  <si>
    <t xml:space="preserve">2026050613QAB0000003</t>
  </si>
  <si>
    <t xml:space="preserve">2026050613QAB0000004</t>
  </si>
  <si>
    <t xml:space="preserve">2026050613QAB0000005</t>
  </si>
  <si>
    <t xml:space="preserve">2026050713QAB0000001</t>
  </si>
  <si>
    <t xml:space="preserve">07/05/2026</t>
  </si>
  <si>
    <t xml:space="preserve">2026050813QAB0000001</t>
  </si>
  <si>
    <t xml:space="preserve">17/05/2026</t>
  </si>
  <si>
    <t xml:space="preserve">2026051213QAG0000001</t>
  </si>
  <si>
    <t xml:space="preserve">12/05/2026</t>
  </si>
  <si>
    <t xml:space="preserve">6222200990</t>
  </si>
  <si>
    <t xml:space="preserve">MKM GLOBAL TEKSTİL TURİZM İNŞAAT OTOMOTİV SANAYİ VE TİCARET LİMİTED ŞİRKETİ</t>
  </si>
  <si>
    <t xml:space="preserve">2026052213QAA0000002</t>
  </si>
  <si>
    <t xml:space="preserve">22/05/2026</t>
  </si>
  <si>
    <t xml:space="preserve">0330054534</t>
  </si>
  <si>
    <t xml:space="preserve">AKPINARLAR KONFEKSİYON,TRİKO,TEKSTİL,NAKIŞ MAKİNA, İMALAT, İHRACAT İTHALAT SANAYİ VE TİC.LTD.ŞTİ.</t>
  </si>
  <si>
    <t xml:space="preserve">07/06/2026</t>
  </si>
  <si>
    <t xml:space="preserve">2026052213QAB0000001</t>
  </si>
  <si>
    <t xml:space="preserve">1420426769</t>
  </si>
  <si>
    <t xml:space="preserve">N-NARSOFT BİLİŞİM TEKNOLOJİ YAZILIM HİZMETLERİ SANAYİ VE TİCARET LİMİTED ŞİRKETİ</t>
  </si>
  <si>
    <t xml:space="preserve">27/05/2026</t>
  </si>
  <si>
    <t xml:space="preserve">2026052513QAG0000001</t>
  </si>
  <si>
    <t xml:space="preserve">25/05/2026</t>
  </si>
  <si>
    <t xml:space="preserve">6260770523</t>
  </si>
  <si>
    <t xml:space="preserve">MUTMAX MAKİNE MOBİLYA İNŞAAT OTOMOBİL SANAYİ VE TİCARET LİMİTED ŞİRKETİ</t>
  </si>
  <si>
    <t xml:space="preserve">2026052513QAG0000002</t>
  </si>
  <si>
    <t xml:space="preserve">2026052513QAG0000003</t>
  </si>
  <si>
    <t xml:space="preserve">2026052513QAG0000004</t>
  </si>
  <si>
    <t xml:space="preserve">2026052513QAG0000005</t>
  </si>
  <si>
    <t xml:space="preserve">2026052513QAG0000006</t>
  </si>
  <si>
    <t xml:space="preserve">2026052513QAG0000007</t>
  </si>
  <si>
    <t xml:space="preserve">2026052513QAG0000008</t>
  </si>
  <si>
    <t xml:space="preserve">2026052513QAG0000009</t>
  </si>
  <si>
    <t xml:space="preserve">2026052513QAG0000010</t>
  </si>
  <si>
    <t xml:space="preserve">14/06/2026</t>
  </si>
  <si>
    <t xml:space="preserve">2026052513QAG0000011</t>
  </si>
  <si>
    <t xml:space="preserve">2026052513QAG0000012</t>
  </si>
  <si>
    <t xml:space="preserve">2026060313QAF0000001</t>
  </si>
  <si>
    <t xml:space="preserve">5790675228</t>
  </si>
  <si>
    <t xml:space="preserve">YUSUF KORKMAZ</t>
  </si>
  <si>
    <t xml:space="preserve">2026060513QAE0000004</t>
  </si>
  <si>
    <t xml:space="preserve">4580075899</t>
  </si>
  <si>
    <t xml:space="preserve">HASÇİÇEKLER İNŞAAT MALZEMELERİ PLASTİK TEKSTİL DIŞ TİCARET LİMİTED ŞİRKETİ</t>
  </si>
  <si>
    <t xml:space="preserve">13/06/2026</t>
  </si>
  <si>
    <t xml:space="preserve">2026060513QAE0000005</t>
  </si>
  <si>
    <t xml:space="preserve">4621068754</t>
  </si>
  <si>
    <t xml:space="preserve">HFC KAĞIT AMBALAJ TEKSTİL İNŞAAT EMLAK VE NAKLİYAT LİMİTED ŞİRKETİ</t>
  </si>
  <si>
    <t xml:space="preserve">2026060813QAB0000001</t>
  </si>
  <si>
    <t xml:space="preserve">1321879816</t>
  </si>
  <si>
    <t xml:space="preserve">BAKIRTOUR SERVİS TAŞIMACILIĞI İNŞAAT TEKSTİL SANAYİ VE TİCARET LİMİTED ŞİRKETİ</t>
  </si>
  <si>
    <t xml:space="preserve">2026060813QAG0000003</t>
  </si>
  <si>
    <t xml:space="preserve">6331009113</t>
  </si>
  <si>
    <t xml:space="preserve">OCAK PLASTİK GERİ DÖNÜŞÜM İNŞAAT ORMAN ÜRÜNLERİ SANAYİ VE TİCARET LİMİTED ŞİRKETİ</t>
  </si>
  <si>
    <t xml:space="preserve">2026060913QAF0000001</t>
  </si>
  <si>
    <t xml:space="preserve">5941028664</t>
  </si>
  <si>
    <t xml:space="preserve">HÜSEYİN KURKUTATA</t>
  </si>
  <si>
    <t xml:space="preserve">2026060913QAF0000002</t>
  </si>
  <si>
    <t xml:space="preserve">2026060913QAF0000003</t>
  </si>
  <si>
    <t xml:space="preserve">2026060913QAF0000004</t>
  </si>
  <si>
    <t xml:space="preserve">2026060913QAF0000005</t>
  </si>
  <si>
    <t xml:space="preserve">2026060913QAF0000006</t>
  </si>
  <si>
    <t xml:space="preserve">2026060913QAF0000007</t>
  </si>
  <si>
    <t xml:space="preserve">2026060913QAF0000008</t>
  </si>
  <si>
    <t xml:space="preserve">2026060913QAF0000009</t>
  </si>
  <si>
    <t xml:space="preserve">2026060913QAF0000010</t>
  </si>
  <si>
    <t xml:space="preserve">2026060913QAF0000011</t>
  </si>
  <si>
    <t xml:space="preserve">2026060913QAF0000012</t>
  </si>
  <si>
    <t xml:space="preserve">2026060913QAF0000013</t>
  </si>
  <si>
    <t xml:space="preserve">2026060913QAF0000014</t>
  </si>
  <si>
    <t xml:space="preserve">2026060913QAF0000015</t>
  </si>
  <si>
    <t xml:space="preserve">2026060913QAF0000016</t>
  </si>
  <si>
    <t xml:space="preserve">2026060913QAF0000017</t>
  </si>
  <si>
    <t xml:space="preserve">2026060913QAF0000018</t>
  </si>
  <si>
    <t xml:space="preserve">2026060913QAF0000019</t>
  </si>
  <si>
    <t xml:space="preserve">2026060913QAF0000020</t>
  </si>
  <si>
    <t xml:space="preserve">2026060913QAF0000021</t>
  </si>
  <si>
    <t xml:space="preserve">2026060913QAF0000022</t>
  </si>
  <si>
    <t xml:space="preserve">2026060913QAF0000023</t>
  </si>
  <si>
    <t xml:space="preserve">2026060913QAF0000024</t>
  </si>
  <si>
    <t xml:space="preserve">2026061013QAA0000001</t>
  </si>
  <si>
    <t xml:space="preserve">10/06/2026</t>
  </si>
  <si>
    <t xml:space="preserve">0370415720</t>
  </si>
  <si>
    <t xml:space="preserve">BEŞİR AKSU</t>
  </si>
  <si>
    <t xml:space="preserve">2026061013QAF0000001</t>
  </si>
  <si>
    <t xml:space="preserve">5390369198</t>
  </si>
  <si>
    <t xml:space="preserve">SÜLEYMAN KAYMAZ</t>
  </si>
  <si>
    <t xml:space="preserve">2026061113QAC0000001</t>
  </si>
  <si>
    <t xml:space="preserve">11/06/2026</t>
  </si>
  <si>
    <t xml:space="preserve">2260655779</t>
  </si>
  <si>
    <t xml:space="preserve">ERCAN ÇALIŞKAN</t>
  </si>
  <si>
    <t xml:space="preserve">2026061213QAB0000014</t>
  </si>
  <si>
    <t xml:space="preserve">1430535874</t>
  </si>
  <si>
    <t xml:space="preserve">BARIŞ ŞEN</t>
  </si>
  <si>
    <t xml:space="preserve">2026061213QAB0000015</t>
  </si>
  <si>
    <t xml:space="preserve">2026061213QAB0000016</t>
  </si>
  <si>
    <t xml:space="preserve">2026061713QAI0000006</t>
  </si>
  <si>
    <t xml:space="preserve">17/06/2026</t>
  </si>
  <si>
    <t xml:space="preserve">8640131620</t>
  </si>
  <si>
    <t xml:space="preserve">ALİ TUNCER</t>
  </si>
  <si>
    <t xml:space="preserve">28/06/2026</t>
  </si>
  <si>
    <t xml:space="preserve">2026062313QAA0000002</t>
  </si>
  <si>
    <t xml:space="preserve">23/06/2026</t>
  </si>
  <si>
    <t xml:space="preserve">0440507117</t>
  </si>
  <si>
    <t xml:space="preserve">İLYAS AKYOL</t>
  </si>
  <si>
    <t xml:space="preserve">2026062313QAB0000004</t>
  </si>
  <si>
    <t xml:space="preserve">1270350927</t>
  </si>
  <si>
    <t xml:space="preserve">B-MART TEKSTİL SANAYİ VE TİCARET LİMİTED ŞİRKETİ</t>
  </si>
  <si>
    <t xml:space="preserve">2026062413QAC0000001</t>
  </si>
  <si>
    <t xml:space="preserve">24/06/2026</t>
  </si>
  <si>
    <t xml:space="preserve">2020425101</t>
  </si>
  <si>
    <t xml:space="preserve">TEVHİT CANSU</t>
  </si>
  <si>
    <t xml:space="preserve">2026062413QAC0000002</t>
  </si>
  <si>
    <t xml:space="preserve">2026062413QAC0000003</t>
  </si>
  <si>
    <t xml:space="preserve">2026062613QAH0000002</t>
  </si>
  <si>
    <t xml:space="preserve">26/06/2026</t>
  </si>
  <si>
    <t xml:space="preserve">7300396184</t>
  </si>
  <si>
    <t xml:space="preserve">PLAYOFF TEKSTİL EĞİTİM ANONİM ŞİRKETİ</t>
  </si>
  <si>
    <t xml:space="preserve">2026070113QAD0000001</t>
  </si>
  <si>
    <t xml:space="preserve">3390166065</t>
  </si>
  <si>
    <t xml:space="preserve">TACEDDİN ERBİL</t>
  </si>
  <si>
    <t xml:space="preserve">07/07/2026</t>
  </si>
  <si>
    <t xml:space="preserve">2026070213QAB0000001</t>
  </si>
  <si>
    <t xml:space="preserve">02/07/2026</t>
  </si>
  <si>
    <t xml:space="preserve">1910863337</t>
  </si>
  <si>
    <t xml:space="preserve">BUTİK CAM DEKORASYON İNŞAAT MOBİLYA SAN. VE TİC. A.Ş.</t>
  </si>
  <si>
    <t xml:space="preserve">2026070713QAB0000002</t>
  </si>
  <si>
    <t xml:space="preserve">13/07/2026</t>
  </si>
  <si>
    <t xml:space="preserve">2026070713QAI0000001</t>
  </si>
  <si>
    <t xml:space="preserve">8600380536</t>
  </si>
  <si>
    <t xml:space="preserve">TUDA TEKSTİL GIDA OTOMOTİV İNŞAAT METAL KİMYA TURİZM SANAYİ VE TİCARET LİMİTED ŞİRKETİ</t>
  </si>
  <si>
    <t xml:space="preserve">2026070813QAG0000001</t>
  </si>
  <si>
    <t xml:space="preserve">08/07/2026</t>
  </si>
  <si>
    <t xml:space="preserve">6081592176</t>
  </si>
  <si>
    <t xml:space="preserve">LALEŞ TEKSTİL KONFEKSİYON CAM AYNA İNŞAATÇILIK İNŞAAT MALZEMELERİ ORMAN ÜRÜNLERİ İTH.İHR.TİC.A.Ş.</t>
  </si>
  <si>
    <t xml:space="preserve">18/07/2026</t>
  </si>
  <si>
    <t xml:space="preserve">2026070813QAG0000002</t>
  </si>
  <si>
    <t xml:space="preserve">2026070913QAH0000001</t>
  </si>
  <si>
    <t xml:space="preserve">7030373859</t>
  </si>
  <si>
    <t xml:space="preserve">SERKAN ÖZNAL</t>
  </si>
  <si>
    <t xml:space="preserve">OLAY KAYIT DEFTER NUMARASI</t>
  </si>
  <si>
    <t xml:space="preserve">KAYNAK AÇIKLAMA</t>
  </si>
  <si>
    <t xml:space="preserve">KAYNAK BELGE AÇIKLAMA</t>
  </si>
  <si>
    <t xml:space="preserve">BELGE TARİHİ</t>
  </si>
  <si>
    <t xml:space="preserve">İLAN NUMARASI</t>
  </si>
  <si>
    <t xml:space="preserve">MİKTAR</t>
  </si>
  <si>
    <t xml:space="preserve">TAHAKKUK DURUM</t>
  </si>
  <si>
    <t xml:space="preserve">VDKODU</t>
  </si>
  <si>
    <t xml:space="preserve">08.04 - Süreksiz Yükümlülüklere İlişkin Olay Kaydı İptal Edilmemiş Olmasına Rağmen Tahakkuku İptal Edilmiş Olan İşlemler Listesi</t>
  </si>
  <si>
    <t xml:space="preserve">2020062532Q9e0000312</t>
  </si>
  <si>
    <t xml:space="preserve">6710747554</t>
  </si>
  <si>
    <t xml:space="preserve">ÖZCAN ALAGÖZ ÖZEL EĞİTİM HİZMETLERİ İNŞAAT TAAHHÜT SANAYİ VE TİCARET ANONİM ŞİRKETİ</t>
  </si>
  <si>
    <t xml:space="preserve">9411</t>
  </si>
  <si>
    <t xml:space="preserve">Mükellef</t>
  </si>
  <si>
    <t xml:space="preserve">Liste</t>
  </si>
  <si>
    <t xml:space="preserve">25/06/2020</t>
  </si>
  <si>
    <t xml:space="preserve">2020062501QBB0000002</t>
  </si>
  <si>
    <t xml:space="preserve">Pasif</t>
  </si>
  <si>
    <t xml:space="preserve">2020072932Q9e0000343</t>
  </si>
  <si>
    <t xml:space="preserve">9710357783</t>
  </si>
  <si>
    <t xml:space="preserve">38572005796</t>
  </si>
  <si>
    <t xml:space="preserve">İBRAHİM YILMAZ</t>
  </si>
  <si>
    <t xml:space="preserve">9148</t>
  </si>
  <si>
    <t xml:space="preserve">29/07/2020</t>
  </si>
  <si>
    <t xml:space="preserve">2020072901QBE0000003</t>
  </si>
  <si>
    <t xml:space="preserve">2020082032Q9e0000370</t>
  </si>
  <si>
    <t xml:space="preserve">7220031529</t>
  </si>
  <si>
    <t xml:space="preserve">TASF.HAL. PARLAR TEKSTİL SANAYİ VE TİCARET LİMİTED ŞİRKETİ</t>
  </si>
  <si>
    <t xml:space="preserve">9059</t>
  </si>
  <si>
    <t xml:space="preserve">Diğer</t>
  </si>
  <si>
    <t xml:space="preserve">20/08/2020</t>
  </si>
  <si>
    <t xml:space="preserve">2020082001QBC0000001</t>
  </si>
  <si>
    <t xml:space="preserve">2021011232Q9e0000007</t>
  </si>
  <si>
    <t xml:space="preserve">9040065951</t>
  </si>
  <si>
    <t xml:space="preserve">MİMARLIK 2000 MİMARLIK MÜHENDİSLİK İNŞAAT TAAHHÜT TURİZM MÜZİK SANAYİ VE TİCARET LİMİTED ŞİRKETİ</t>
  </si>
  <si>
    <t xml:space="preserve">31/12/2020</t>
  </si>
  <si>
    <t xml:space="preserve">2021011201QBE0000005</t>
  </si>
  <si>
    <t xml:space="preserve">2021041332Q9e0000087</t>
  </si>
  <si>
    <t xml:space="preserve">9630021144</t>
  </si>
  <si>
    <t xml:space="preserve">25705446700</t>
  </si>
  <si>
    <t xml:space="preserve">MEHMET ALİ YILDIZ</t>
  </si>
  <si>
    <t xml:space="preserve">13/04/2021</t>
  </si>
  <si>
    <t xml:space="preserve">2021041301QBE0000002</t>
  </si>
  <si>
    <t xml:space="preserve">2021041332Q9e0000088</t>
  </si>
  <si>
    <t xml:space="preserve">9800021406</t>
  </si>
  <si>
    <t xml:space="preserve">14317796952</t>
  </si>
  <si>
    <t xml:space="preserve">RAMİZ YİĞİT</t>
  </si>
  <si>
    <t xml:space="preserve">2021041301QBE0000003</t>
  </si>
  <si>
    <t xml:space="preserve">2021041332Q9e0000089</t>
  </si>
  <si>
    <t xml:space="preserve">9530016633</t>
  </si>
  <si>
    <t xml:space="preserve">10618955746</t>
  </si>
  <si>
    <t xml:space="preserve">RECEP YEZER</t>
  </si>
  <si>
    <t xml:space="preserve">2021041301QBE0000004</t>
  </si>
  <si>
    <t xml:space="preserve">2021041332Q9e0000090</t>
  </si>
  <si>
    <t xml:space="preserve">9950035127</t>
  </si>
  <si>
    <t xml:space="preserve">25540475552</t>
  </si>
  <si>
    <t xml:space="preserve">YUSUF ZİYA YÜREK</t>
  </si>
  <si>
    <t xml:space="preserve">2021041301QBE0000005</t>
  </si>
  <si>
    <t xml:space="preserve">2021041332Q9e0000092</t>
  </si>
  <si>
    <t xml:space="preserve">8350633252</t>
  </si>
  <si>
    <t xml:space="preserve">41098740294</t>
  </si>
  <si>
    <t xml:space="preserve">MEHMET ALİ TEKİN</t>
  </si>
  <si>
    <t xml:space="preserve">09/03/2020</t>
  </si>
  <si>
    <t xml:space="preserve">2021041301QBD0000002</t>
  </si>
  <si>
    <t xml:space="preserve">2021071332Q9e0000282</t>
  </si>
  <si>
    <t xml:space="preserve">9240877282</t>
  </si>
  <si>
    <t xml:space="preserve">TASF.HAL.VEMAKS TEKSTİL İTHALAT İHRACAT SANAYİ VE TİCARET LİMİTED ŞİRKETİ</t>
  </si>
  <si>
    <t xml:space="preserve">06/07/2021</t>
  </si>
  <si>
    <t xml:space="preserve">2021071301QBE0000072</t>
  </si>
  <si>
    <t xml:space="preserve">2022031132Q9e0000100</t>
  </si>
  <si>
    <t xml:space="preserve">8360073263</t>
  </si>
  <si>
    <t xml:space="preserve">TEKİNYOL MADENCİLİK SANAYİ VE TİCARET LİMİTED ŞİRKETİ</t>
  </si>
  <si>
    <t xml:space="preserve">9060</t>
  </si>
  <si>
    <t xml:space="preserve">30/06/2021</t>
  </si>
  <si>
    <t xml:space="preserve">2022031101QBD0000001</t>
  </si>
  <si>
    <t xml:space="preserve">2022031132Q9e0000102</t>
  </si>
  <si>
    <t xml:space="preserve">30/06/2018</t>
  </si>
  <si>
    <t xml:space="preserve">2022031101QBD0000003</t>
  </si>
  <si>
    <t xml:space="preserve">2022081632Q9e0000460</t>
  </si>
  <si>
    <t xml:space="preserve">8440043347</t>
  </si>
  <si>
    <t xml:space="preserve">49861815552</t>
  </si>
  <si>
    <t xml:space="preserve">HÜSEYİN TİMUR</t>
  </si>
  <si>
    <t xml:space="preserve">08/08/2022</t>
  </si>
  <si>
    <t xml:space="preserve">2022081601QBD0000001</t>
  </si>
  <si>
    <t xml:space="preserve">2022090832Q9e0000473</t>
  </si>
  <si>
    <t xml:space="preserve">8330468734</t>
  </si>
  <si>
    <t xml:space="preserve">TEKBEN EĞİTİM İNTERNET İNSAN KAYNAKLARI YAYINCILIK HİZMETLERİ SANAYİ VE TİCARET LİMİTED ŞİRKETİ</t>
  </si>
  <si>
    <t xml:space="preserve">08/09/2022</t>
  </si>
  <si>
    <t xml:space="preserve">2022090801QBD0000002</t>
  </si>
  <si>
    <t xml:space="preserve">2023080732Q9e0000386</t>
  </si>
  <si>
    <t xml:space="preserve">7280595992</t>
  </si>
  <si>
    <t xml:space="preserve">PENGİM TEKSTİL SANAYİ VE TİCARET LİMİTED ŞİRKETİ</t>
  </si>
  <si>
    <t xml:space="preserve">9339</t>
  </si>
  <si>
    <t xml:space="preserve">19/04/2023</t>
  </si>
  <si>
    <t xml:space="preserve">2023080701QBC0000003</t>
  </si>
  <si>
    <t xml:space="preserve">2023121432Q9e0000627</t>
  </si>
  <si>
    <t xml:space="preserve">9800407558</t>
  </si>
  <si>
    <t xml:space="preserve">15757753178</t>
  </si>
  <si>
    <t xml:space="preserve">YUSUFCAN YİGİT</t>
  </si>
  <si>
    <t xml:space="preserve">9374</t>
  </si>
  <si>
    <t xml:space="preserve">29/09/2023</t>
  </si>
  <si>
    <t xml:space="preserve">10/11/2023</t>
  </si>
  <si>
    <t xml:space="preserve">2023121401QBE0000001</t>
  </si>
  <si>
    <t xml:space="preserve">2024011632Q9e0000035</t>
  </si>
  <si>
    <t xml:space="preserve">8690452890</t>
  </si>
  <si>
    <t xml:space="preserve">TUREM BİLİŞİM DANIŞMANLIK TELEKOMİNİKASYON İNŞAAT OTOMOTİV GIDA TURİZM SANAYİ VE TİCARET LTD.ŞTİ.</t>
  </si>
  <si>
    <t xml:space="preserve">9338</t>
  </si>
  <si>
    <t xml:space="preserve">20/11/2023</t>
  </si>
  <si>
    <t xml:space="preserve">25/11/2023</t>
  </si>
  <si>
    <t xml:space="preserve">2024011601QBD0000007</t>
  </si>
  <si>
    <t xml:space="preserve">2024031832Q9e0000216</t>
  </si>
  <si>
    <t xml:space="preserve">7320053724</t>
  </si>
  <si>
    <t xml:space="preserve">POLİTET TEKSTİL KONFEKSİYON SANAYİ VE TİCARET ANONİM ŞİRKETİ</t>
  </si>
  <si>
    <t xml:space="preserve">08/03/2023</t>
  </si>
  <si>
    <t xml:space="preserve">11/03/2024</t>
  </si>
  <si>
    <t xml:space="preserve">2024031801QBC0000005</t>
  </si>
  <si>
    <t xml:space="preserve">2024031832Q9e0000217</t>
  </si>
  <si>
    <t xml:space="preserve">Cumhuriyet Savcılığı</t>
  </si>
  <si>
    <t xml:space="preserve">Mahkeme Kararı</t>
  </si>
  <si>
    <t xml:space="preserve">2024031801QBC0000006</t>
  </si>
  <si>
    <t xml:space="preserve">TAHAKKUK TARİHİ</t>
  </si>
  <si>
    <t xml:space="preserve">TAHAKKUK TÜRÜ</t>
  </si>
  <si>
    <t xml:space="preserve">TAHAKKUK İŞLEM TÜRÜ</t>
  </si>
  <si>
    <t xml:space="preserve">09.03 - Elektronik Ortamda Beyanname Vermek Zorunda Olan Mükelleflerden Kanuni Süresinden Sonra Beyanname Verildiği Halde Hakkında Özel Usulsüzlük Cezası Uygulanmayanlar </t>
  </si>
  <si>
    <t xml:space="preserve">2660242880</t>
  </si>
  <si>
    <t xml:space="preserve">CENGİZ DAĞDEVİREN</t>
  </si>
  <si>
    <t xml:space="preserve">2024071701QAk0000144</t>
  </si>
  <si>
    <t xml:space="preserve">17/07/2024</t>
  </si>
  <si>
    <t xml:space="preserve">BEYANNAME</t>
  </si>
  <si>
    <t xml:space="preserve">KANUNİ SÜRESİNDEN SONRA THK FİŞİ</t>
  </si>
  <si>
    <t xml:space="preserve">LİSTEDE İHBARNAME DAYANAK NUMARASI, VERGİ KODU ,CEZA KODU YANLIŞ GİRİLENLER DE GELMEKTEDİR. KONTROL EDİNİZ.</t>
  </si>
  <si>
    <t xml:space="preserve">3950358783</t>
  </si>
  <si>
    <t xml:space="preserve">CEM GEYLANER</t>
  </si>
  <si>
    <t xml:space="preserve">0016</t>
  </si>
  <si>
    <t xml:space="preserve">2025031301QAl0000072</t>
  </si>
  <si>
    <t xml:space="preserve">13/03/2025</t>
  </si>
  <si>
    <t xml:space="preserve">İŞE BAŞLAMA TARİHİ</t>
  </si>
  <si>
    <t xml:space="preserve">09.04 - Elektronik Tebligat Adresi Edinmeyen Gerçek Kişi Mükellefler Listesi</t>
  </si>
  <si>
    <t xml:space="preserve">1270425791</t>
  </si>
  <si>
    <t xml:space="preserve">MAHMUD YASİR AZİZİ</t>
  </si>
  <si>
    <t xml:space="preserve">01/03/2026</t>
  </si>
  <si>
    <t xml:space="preserve">2390047556</t>
  </si>
  <si>
    <t xml:space="preserve">MEHMET SIDDIK ÇELİK</t>
  </si>
  <si>
    <t xml:space="preserve">2440790184</t>
  </si>
  <si>
    <t xml:space="preserve">ÜNAL ÇETİN</t>
  </si>
  <si>
    <t xml:space="preserve">30/05/2024</t>
  </si>
  <si>
    <t xml:space="preserve">2530062742</t>
  </si>
  <si>
    <t xml:space="preserve">FİKRET ÇİÇEKSEVEN</t>
  </si>
  <si>
    <t xml:space="preserve">01/01/2026</t>
  </si>
  <si>
    <t xml:space="preserve">3750289970</t>
  </si>
  <si>
    <t xml:space="preserve">MİNE ERTÜRK</t>
  </si>
  <si>
    <t xml:space="preserve">4550660644</t>
  </si>
  <si>
    <t xml:space="preserve">ABDULMELİK ELHALEF</t>
  </si>
  <si>
    <t xml:space="preserve">4580983447</t>
  </si>
  <si>
    <t xml:space="preserve">AHMED HARRUBİ</t>
  </si>
  <si>
    <t xml:space="preserve">4691027737</t>
  </si>
  <si>
    <t xml:space="preserve">İBRAHİM İBRAHİM</t>
  </si>
  <si>
    <t xml:space="preserve">5300040141</t>
  </si>
  <si>
    <t xml:space="preserve">ARİF KAYA</t>
  </si>
  <si>
    <t xml:space="preserve">5510006308</t>
  </si>
  <si>
    <t xml:space="preserve">HÜSEYİN KILIÇ</t>
  </si>
  <si>
    <t xml:space="preserve">5770143882</t>
  </si>
  <si>
    <t xml:space="preserve">ENGİN KOPUK</t>
  </si>
  <si>
    <t xml:space="preserve">5880366275</t>
  </si>
  <si>
    <t xml:space="preserve">AYŞE KÖSEOĞLU</t>
  </si>
  <si>
    <t xml:space="preserve">5970283367</t>
  </si>
  <si>
    <t xml:space="preserve">MUSTAFA KURU</t>
  </si>
  <si>
    <t xml:space="preserve">01/12/2025</t>
  </si>
  <si>
    <t xml:space="preserve">6030047511</t>
  </si>
  <si>
    <t xml:space="preserve">HACI BAYRAM KÜÇÜKBAY</t>
  </si>
  <si>
    <t xml:space="preserve">6530010934</t>
  </si>
  <si>
    <t xml:space="preserve">AYFER ÖKSÜZ</t>
  </si>
  <si>
    <t xml:space="preserve">7310695323</t>
  </si>
  <si>
    <t xml:space="preserve">EMİR MUHAMMED POLAT</t>
  </si>
  <si>
    <t xml:space="preserve">19/12/2025</t>
  </si>
  <si>
    <t xml:space="preserve">8620161178</t>
  </si>
  <si>
    <t xml:space="preserve">SEDAT TUNALI</t>
  </si>
  <si>
    <t xml:space="preserve">8840826309</t>
  </si>
  <si>
    <t xml:space="preserve">KÜBRA UÇAR</t>
  </si>
  <si>
    <t xml:space="preserve">09/09/2024</t>
  </si>
  <si>
    <t xml:space="preserve">9620294576</t>
  </si>
  <si>
    <t xml:space="preserve">HABİL YILDIZ</t>
  </si>
  <si>
    <t xml:space="preserve">9930546653</t>
  </si>
  <si>
    <t xml:space="preserve">BATUHAN YÜKSEL</t>
  </si>
  <si>
    <t xml:space="preserve">31/12/2024</t>
  </si>
  <si>
    <t xml:space="preserve">09.05 - Elektronik Tebligat Adresi Edinmeyen Tüzel Kişi Mükellefler Listesi</t>
  </si>
  <si>
    <t xml:space="preserve">2900831415</t>
  </si>
  <si>
    <t xml:space="preserve">DENDEL TEKSTİL İNŞAAT LİMİTED ŞİRKETİ</t>
  </si>
  <si>
    <t xml:space="preserve">04/03/2026</t>
  </si>
  <si>
    <t xml:space="preserve">4651632964</t>
  </si>
  <si>
    <t xml:space="preserve">IMAX İPLİK İTHALAT İHRACAT SANAYİ VE TİCARET LİMİTED ŞİRKETİ</t>
  </si>
  <si>
    <t xml:space="preserve">22/04/2026</t>
  </si>
  <si>
    <t xml:space="preserve">6440964385</t>
  </si>
  <si>
    <t xml:space="preserve">ORABİ E-TİCARET İTHALAT İHRACAT SANAYİ TİCARET LİMİTED ŞİRKETİ</t>
  </si>
  <si>
    <t xml:space="preserve">21/05/2026</t>
  </si>
  <si>
    <t xml:space="preserve">6121852558</t>
  </si>
  <si>
    <t xml:space="preserve">MANGALCAN MÜHENDİSLİK LİMİTED ŞİRKETİ</t>
  </si>
  <si>
    <t xml:space="preserve">9401261861</t>
  </si>
  <si>
    <t xml:space="preserve">YAŞAROĞLU SÜT VE ET ÜRÜNLERİ GIDA LİMİTED ŞİRKETİ</t>
  </si>
  <si>
    <t xml:space="preserve">9251322795</t>
  </si>
  <si>
    <t xml:space="preserve">VOCARMED MEDİKAL TEKSTİL GIDA TURİZM İTHALAT VE İHRACAT SANAYİ TİCARET ANONİM ŞİRKETİ</t>
  </si>
  <si>
    <t xml:space="preserve">26/03/2026</t>
  </si>
  <si>
    <t xml:space="preserve">9870572936</t>
  </si>
  <si>
    <t xml:space="preserve">YURTTEKS BOYA KİMYA SANAYİ TİCARET LİMİTED ŞİRKETİ</t>
  </si>
  <si>
    <t xml:space="preserve">15/11/2024</t>
  </si>
  <si>
    <t xml:space="preserve">1790145907</t>
  </si>
  <si>
    <t xml:space="preserve">BONUS TEKSTİL KONFEKSİYON SANAYİ VE TİCARET LİMİTED ŞİRKETİ</t>
  </si>
  <si>
    <t xml:space="preserve">31/12/2002</t>
  </si>
  <si>
    <t xml:space="preserve">6101671642</t>
  </si>
  <si>
    <t xml:space="preserve">MADERA BABY TEKSTİL SANAYİ VE TİCARET LİMİTED ŞİRKETİ</t>
  </si>
  <si>
    <t xml:space="preserve">29/01/2026</t>
  </si>
  <si>
    <t xml:space="preserve">8151202594</t>
  </si>
  <si>
    <t xml:space="preserve">ŞÜKRANİYE SPOR KULÜBÜ İKTİSADİ İŞLETMESİ</t>
  </si>
  <si>
    <t xml:space="preserve">20/01/2026</t>
  </si>
  <si>
    <t xml:space="preserve">6680891969</t>
  </si>
  <si>
    <t xml:space="preserve">ÖZBÜYÜKLER İNOVASYON PLASTİK TEKSTİL SANAYİ VE TİCARET LİMİTED ŞİRKETİ</t>
  </si>
  <si>
    <t xml:space="preserve">18/03/2026</t>
  </si>
  <si>
    <t xml:space="preserve">2320189597</t>
  </si>
  <si>
    <t xml:space="preserve">TASF.HAL.ÇAVUŞOĞLU KAĞIT KİTAP KIRTASİYE TİC.VE SAN.LTD.ŞTİ.</t>
  </si>
  <si>
    <t xml:space="preserve">4581893478</t>
  </si>
  <si>
    <t xml:space="preserve">HASKAN SÜT ÜRÜNLERİ GIDA SANAYİ TİCARET LİMİTED ŞİRKETİ</t>
  </si>
  <si>
    <t xml:space="preserve">28/08/2026</t>
  </si>
  <si>
    <t xml:space="preserve">8230790998</t>
  </si>
  <si>
    <t xml:space="preserve">TAPTAZE GIDA YAŞ SEBZE MEYVE NAKLİYAT TİCARET LİMİTED ŞİRKETİ</t>
  </si>
  <si>
    <t xml:space="preserve">07/01/2025</t>
  </si>
  <si>
    <t xml:space="preserve">3350975058</t>
  </si>
  <si>
    <t xml:space="preserve">ENSAR GROS MARKET GIDA ZÜCCACİYE SANAYİ VE TİCARET LİMİTED ŞİRKETİ</t>
  </si>
  <si>
    <t xml:space="preserve">25/08/2026</t>
  </si>
  <si>
    <t xml:space="preserve">3952508210</t>
  </si>
  <si>
    <t xml:space="preserve">GEZİN GIDA KUYUMCULUK HAYVANCILIK İNŞAAT SANAYİ VE TİCARET LİMİTED ŞİRKETİ</t>
  </si>
  <si>
    <t xml:space="preserve">7291376692</t>
  </si>
  <si>
    <t xml:space="preserve">PEYİFY TEKNOLOJİ BİLİŞİM HİZMETLERİ LİMİTED ŞİRKETİ</t>
  </si>
  <si>
    <t xml:space="preserve">2080057501</t>
  </si>
  <si>
    <t xml:space="preserve">TASF.HAL. CEYLAN KAYA TEKSTİL ÖZEL SÜRÜCÜ EĞİTİM HİZMETLERİ MOTORLU TAŞITLAR TİCARET VE SAN.LTD.ŞTİ.</t>
  </si>
  <si>
    <t xml:space="preserve">22/04/2021</t>
  </si>
  <si>
    <t xml:space="preserve">1901640542</t>
  </si>
  <si>
    <t xml:space="preserve">BUQHLE BİJUTERİ AKSESUAR SANAYİ VE TİCARET ANONİM ŞİRKETİ</t>
  </si>
  <si>
    <t xml:space="preserve">03/04/2026</t>
  </si>
  <si>
    <t xml:space="preserve">7660035967</t>
  </si>
  <si>
    <t xml:space="preserve">TASF.HAL. SEVİNDİ YURT İÇİ VE ULUSLARARASI TAŞIMA VE NAKLİYAT ANBARI İŞLETMECİLİĞİ LİMİTED ŞİRKETİ</t>
  </si>
  <si>
    <t xml:space="preserve">12/07/2019</t>
  </si>
  <si>
    <t xml:space="preserve">09.01 - Kanuni Süresinden Sonra Beyanname Verildiği Halde Vergi/ceza İhbarnamesi Düzenlenmeyen Mükellefler Listesi</t>
  </si>
  <si>
    <t xml:space="preserve">8540436585</t>
  </si>
  <si>
    <t xml:space="preserve">ZEYNEL ABİDİN TOPRAK</t>
  </si>
  <si>
    <t xml:space="preserve">2025050501QBD0000004</t>
  </si>
  <si>
    <t xml:space="preserve">8980108588</t>
  </si>
  <si>
    <t xml:space="preserve">MEHMET EMİN UYGUR</t>
  </si>
  <si>
    <t xml:space="preserve">2025022001QBD0000001</t>
  </si>
  <si>
    <t xml:space="preserve">20/02/2025</t>
  </si>
  <si>
    <t xml:space="preserve">8830597405</t>
  </si>
  <si>
    <t xml:space="preserve">CELAL UÇAR</t>
  </si>
  <si>
    <t xml:space="preserve">2026060201QBD0000001</t>
  </si>
  <si>
    <t xml:space="preserve">02/06/2026</t>
  </si>
  <si>
    <t xml:space="preserve">PİŞMANLIK TALEPLİ THK FİŞİ</t>
  </si>
  <si>
    <t xml:space="preserve">4831507531</t>
  </si>
  <si>
    <t xml:space="preserve">JAKARMOD TEKSTİL DOKUMA SANAYİ VE TİCARET LİMİTED ŞİRKETİ</t>
  </si>
  <si>
    <t xml:space="preserve">2025011001QB90000004</t>
  </si>
  <si>
    <t xml:space="preserve">10/01/2025</t>
  </si>
  <si>
    <t xml:space="preserve">09.02 - Kanuni Süresinden Sonra Beyanname Verildiği Halde Usulsüzlük Cezası Kesilmeyen Mükellefler Listesi</t>
  </si>
  <si>
    <t xml:space="preserve">5160777617</t>
  </si>
  <si>
    <t xml:space="preserve">MURAT KARAKUŞ</t>
  </si>
  <si>
    <t xml:space="preserve">2025021801QBA0000003</t>
  </si>
  <si>
    <t xml:space="preserve">18/02/2025</t>
  </si>
  <si>
    <t xml:space="preserve">2025100101QBA0000015</t>
  </si>
  <si>
    <t xml:space="preserve">4991142239</t>
  </si>
  <si>
    <t xml:space="preserve">KAPLANER TÜTÜNCÜLÜK GIDA İNŞAAT AKARYAKIT TURİZM TAŞIMACILIK SANAYİ VE TİCARET ANONİM ŞİRKETİ</t>
  </si>
  <si>
    <t xml:space="preserve">2025101601QB90000012</t>
  </si>
  <si>
    <t xml:space="preserve">16/10/2025</t>
  </si>
  <si>
    <t xml:space="preserve">0320027058</t>
  </si>
  <si>
    <t xml:space="preserve">AKNUR DÖVİZ ALTIN TİCARET YETKİLİ MÜESSESE ANONİM ŞİRKETİ</t>
  </si>
  <si>
    <t xml:space="preserve">9015</t>
  </si>
  <si>
    <t xml:space="preserve">2026052501QAi0000086</t>
  </si>
  <si>
    <t xml:space="preserve">2026052501QAi0000090</t>
  </si>
  <si>
    <t xml:space="preserve">2026052501QAi0000092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</si>
</sst>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7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CCCCFF"/>
      </patternFill>
    </fill>
    <fill>
      <patternFill patternType="solid">
        <fgColor rgb="FFFF3300"/>
        <bgColor rgb="FFFF6600"/>
      </patternFill>
    </fill>
    <fill>
      <patternFill patternType="solid">
        <fgColor rgb="FF99FF33"/>
        <bgColor rgb="FFCCFFCC"/>
      </patternFill>
    </fill>
    <fill>
      <patternFill patternType="solid">
        <fgColor rgb="FFFFFF66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4C6E7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5" min="2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</row>
    <row r="4" customFormat="false" ht="15" hidden="false" customHeight="false" outlineLevel="0" collapsed="false">
      <c r="A4" s="0" t="s">
        <v>26</v>
      </c>
      <c r="B4" s="0" t="n">
        <f aca="false">COUNTIFS('03 VERGİ İNCELEME RAPORU'!$B:$B,$A4,'03 VERGİ İNCELEME RAPORU'!$A:$A,"03.01*")</f>
        <v>1</v>
      </c>
      <c r="C4" s="0" t="n">
        <f aca="false">COUNTIFS('03 VERGİ İNCELEME RAPORU'!$B:$B,$A4,'03 VERGİ İNCELEME RAPORU'!$A:$A,"03.02*")</f>
        <v>0</v>
      </c>
      <c r="D4" s="0" t="n">
        <f aca="false">COUNTIFS('03 VERGİ İNCELEME RAPORU'!$B:$B,$A4,'03 VERGİ İNCELEME RAPORU'!$A:$A,"03.03*")</f>
        <v>8</v>
      </c>
      <c r="E4" s="0" t="n">
        <f aca="false">COUNTIFS('03 VERGİ İNCELEME RAPORU'!$B:$B,$A4,'03 VERGİ İNCELEME RAPORU'!$A:$A,"03.04*")</f>
        <v>0</v>
      </c>
      <c r="F4" s="0" t="n">
        <f aca="false">COUNTIFS('03 VERGİ İNCELEME RAPORU'!$B:$B,$A4,'03 VERGİ İNCELEME RAPORU'!$A:$A,"03.05*")</f>
        <v>0</v>
      </c>
      <c r="G4" s="0" t="n">
        <f aca="false">COUNTIFS('03 VERGİ İNCELEME RAPORU'!$B:$B,$A4,'03 VERGİ İNCELEME RAPORU'!$A:$A,"03.06*")</f>
        <v>0</v>
      </c>
      <c r="H4" s="0" t="n">
        <f aca="false">COUNTIFS('03 VERGİ İNCELEME RAPORU'!$B:$B,$A4,'03 VERGİ İNCELEME RAPORU'!$A:$A,"03.08*")</f>
        <v>0</v>
      </c>
      <c r="I4" s="0" t="n">
        <f aca="false">COUNTIFS('05 TAKDİRİ SEVK İŞLEMLERİ'!$B:$B,$A4,'05 TAKDİRİ SEVK İŞLEMLERİ'!$A:$A,"05.01*")</f>
        <v>0</v>
      </c>
      <c r="J4" s="0" t="n">
        <f aca="false">COUNTIFS('05 TAKDİRİ SEVK İŞLEMLERİ'!$B:$B,$A4,'05 TAKDİRİ SEVK İŞLEMLERİ'!$A:$A,"05.02*")</f>
        <v>0</v>
      </c>
      <c r="K4" s="0" t="n">
        <f aca="false">COUNTIFS('05 TAKDİRİ SEVK İŞLEMLERİ'!$B:$B,$A4,'05 TAKDİRİ SEVK İŞLEMLERİ'!$A:$A,"05.03*")</f>
        <v>0</v>
      </c>
      <c r="L4" s="0" t="n">
        <f aca="false">COUNTIFS('05 TAKDİRİ SEVK İŞLEMLERİ'!$B:$B,$A4,'05 TAKDİRİ SEVK İŞLEMLERİ'!$A:$A,"05.04*")</f>
        <v>0</v>
      </c>
      <c r="M4" s="0" t="n">
        <f aca="false">COUNTIFS('05 TAKDİRİ SEVK İŞLEMLERİ'!$B:$B,$A4,'05 TAKDİRİ SEVK İŞLEMLERİ'!$A:$A,"05.05*")</f>
        <v>0</v>
      </c>
      <c r="N4" s="0" t="n">
        <f aca="false">COUNTIFS('06 VERGİ CEZA İHBARNAMELERİ'!$B:$B,$A4,'06 VERGİ CEZA İHBARNAMELERİ'!$A:$A,"06.01*")</f>
        <v>5</v>
      </c>
      <c r="O4" s="0" t="n">
        <f aca="false">COUNTIFS('06 VERGİ CEZA İHBARNAMELERİ'!$B:$B,$A4,'06 VERGİ CEZA İHBARNAMELERİ'!$A:$A,"06.02*")</f>
        <v>13</v>
      </c>
      <c r="P4" s="0" t="n">
        <f aca="false">COUNTIFS('06 VERGİ CEZA İHBARNAMELERİ'!$B:$B,$A4,'06 VERGİ CEZA İHBARNAMELERİ'!$A:$A,"06.03*")</f>
        <v>3</v>
      </c>
      <c r="Q4" s="0" t="n">
        <f aca="false">COUNTIFS('06 VERGİ CEZA İHBARNAMELERİ'!$B:$B,$A4,'06 VERGİ CEZA İHBARNAMELERİ'!$A:$A,"06.04*")</f>
        <v>2</v>
      </c>
      <c r="R4" s="0" t="n">
        <f aca="false">COUNTIFS('06 VERGİ CEZA İHBARNAMELERİ'!$B:$B,$A4,'06 VERGİ CEZA İHBARNAMELERİ'!$A:$A,"06.05*")</f>
        <v>8</v>
      </c>
      <c r="S4" s="0" t="n">
        <f aca="false">COUNTIFS('08 SÜREKSİZ YÜKÜMLÜLÜKLER'!$B:$B,$A4,'08 SÜREKSİZ YÜKÜMLÜLÜKLER'!$A:$A,"08.04*")</f>
        <v>0</v>
      </c>
      <c r="T4" s="0" t="n">
        <f aca="false">COUNTIFS('09 KANUNİ SÜRESİNDEN SONRA VERİ'!$B:$B,$A4,'09 KANUNİ SÜRESİNDEN SONRA VERİ'!$A:$A,"09.01*")</f>
        <v>0</v>
      </c>
      <c r="U4" s="0" t="n">
        <f aca="false">COUNTIFS('09 KANUNİ SÜRESİNDEN SONRA VERİ'!$B:$B,$A4,'09 KANUNİ SÜRESİNDEN SONRA VERİ'!$A:$A,"09.02*")</f>
        <v>3</v>
      </c>
      <c r="V4" s="0" t="n">
        <f aca="false">COUNTIFS('09 KANUNİ SÜRESİNDEN SONRA VERİ'!$B:$B,$A4,'09 KANUNİ SÜRESİNDEN SONRA VERİ'!$A:$A,"09.03*")</f>
        <v>0</v>
      </c>
      <c r="W4" s="0" t="n">
        <f aca="false">COUNTIFS('09 KANUNİ SÜRESİNDEN SONRA VERİ'!$B:$B,$A4,'09 KANUNİ SÜRESİNDEN SONRA VERİ'!$A:$A,"09.04*")</f>
        <v>0</v>
      </c>
      <c r="X4" s="0" t="n">
        <f aca="false">COUNTIFS('09 KANUNİ SÜRESİNDEN SONRA VERİ'!$B:$B,$A4,'09 KANUNİ SÜRESİNDEN SONRA VERİ'!$A:$A,"09.05*")</f>
        <v>0</v>
      </c>
      <c r="Y4" s="1" t="n">
        <f aca="false">SUM(B4:X4)</f>
        <v>43</v>
      </c>
    </row>
    <row r="5" customFormat="false" ht="15" hidden="false" customHeight="false" outlineLevel="0" collapsed="false">
      <c r="A5" s="0" t="s">
        <v>27</v>
      </c>
      <c r="B5" s="0" t="n">
        <f aca="false">COUNTIFS('03 VERGİ İNCELEME RAPORU'!$B:$B,$A5,'03 VERGİ İNCELEME RAPORU'!$A:$A,"03.01*")</f>
        <v>0</v>
      </c>
      <c r="C5" s="0" t="n">
        <f aca="false">COUNTIFS('03 VERGİ İNCELEME RAPORU'!$B:$B,$A5,'03 VERGİ İNCELEME RAPORU'!$A:$A,"03.02*")</f>
        <v>0</v>
      </c>
      <c r="D5" s="0" t="n">
        <f aca="false">COUNTIFS('03 VERGİ İNCELEME RAPORU'!$B:$B,$A5,'03 VERGİ İNCELEME RAPORU'!$A:$A,"03.03*")</f>
        <v>0</v>
      </c>
      <c r="E5" s="0" t="n">
        <f aca="false">COUNTIFS('03 VERGİ İNCELEME RAPORU'!$B:$B,$A5,'03 VERGİ İNCELEME RAPORU'!$A:$A,"03.04*")</f>
        <v>0</v>
      </c>
      <c r="F5" s="0" t="n">
        <f aca="false">COUNTIFS('03 VERGİ İNCELEME RAPORU'!$B:$B,$A5,'03 VERGİ İNCELEME RAPORU'!$A:$A,"03.05*")</f>
        <v>0</v>
      </c>
      <c r="G5" s="0" t="n">
        <f aca="false">COUNTIFS('03 VERGİ İNCELEME RAPORU'!$B:$B,$A5,'03 VERGİ İNCELEME RAPORU'!$A:$A,"03.06*")</f>
        <v>0</v>
      </c>
      <c r="H5" s="0" t="n">
        <f aca="false">COUNTIFS('03 VERGİ İNCELEME RAPORU'!$B:$B,$A5,'03 VERGİ İNCELEME RAPORU'!$A:$A,"03.08*")</f>
        <v>0</v>
      </c>
      <c r="I5" s="0" t="n">
        <f aca="false">COUNTIFS('05 TAKDİRİ SEVK İŞLEMLERİ'!$B:$B,$A5,'05 TAKDİRİ SEVK İŞLEMLERİ'!$A:$A,"05.01*")</f>
        <v>0</v>
      </c>
      <c r="J5" s="0" t="n">
        <f aca="false">COUNTIFS('05 TAKDİRİ SEVK İŞLEMLERİ'!$B:$B,$A5,'05 TAKDİRİ SEVK İŞLEMLERİ'!$A:$A,"05.02*")</f>
        <v>0</v>
      </c>
      <c r="K5" s="0" t="n">
        <f aca="false">COUNTIFS('05 TAKDİRİ SEVK İŞLEMLERİ'!$B:$B,$A5,'05 TAKDİRİ SEVK İŞLEMLERİ'!$A:$A,"05.03*")</f>
        <v>0</v>
      </c>
      <c r="L5" s="0" t="n">
        <f aca="false">COUNTIFS('05 TAKDİRİ SEVK İŞLEMLERİ'!$B:$B,$A5,'05 TAKDİRİ SEVK İŞLEMLERİ'!$A:$A,"05.04*")</f>
        <v>0</v>
      </c>
      <c r="M5" s="0" t="n">
        <f aca="false">COUNTIFS('05 TAKDİRİ SEVK İŞLEMLERİ'!$B:$B,$A5,'05 TAKDİRİ SEVK İŞLEMLERİ'!$A:$A,"05.05*")</f>
        <v>1</v>
      </c>
      <c r="N5" s="0" t="n">
        <f aca="false">COUNTIFS('06 VERGİ CEZA İHBARNAMELERİ'!$B:$B,$A5,'06 VERGİ CEZA İHBARNAMELERİ'!$A:$A,"06.01*")</f>
        <v>43</v>
      </c>
      <c r="O5" s="0" t="n">
        <f aca="false">COUNTIFS('06 VERGİ CEZA İHBARNAMELERİ'!$B:$B,$A5,'06 VERGİ CEZA İHBARNAMELERİ'!$A:$A,"06.02*")</f>
        <v>13</v>
      </c>
      <c r="P5" s="0" t="n">
        <f aca="false">COUNTIFS('06 VERGİ CEZA İHBARNAMELERİ'!$B:$B,$A5,'06 VERGİ CEZA İHBARNAMELERİ'!$A:$A,"06.03*")</f>
        <v>9</v>
      </c>
      <c r="Q5" s="0" t="n">
        <f aca="false">COUNTIFS('06 VERGİ CEZA İHBARNAMELERİ'!$B:$B,$A5,'06 VERGİ CEZA İHBARNAMELERİ'!$A:$A,"06.04*")</f>
        <v>2</v>
      </c>
      <c r="R5" s="0" t="n">
        <f aca="false">COUNTIFS('06 VERGİ CEZA İHBARNAMELERİ'!$B:$B,$A5,'06 VERGİ CEZA İHBARNAMELERİ'!$A:$A,"06.05*")</f>
        <v>1</v>
      </c>
      <c r="S5" s="0" t="n">
        <f aca="false">COUNTIFS('08 SÜREKSİZ YÜKÜMLÜLÜKLER'!$B:$B,$A5,'08 SÜREKSİZ YÜKÜMLÜLÜKLER'!$A:$A,"08.04*")</f>
        <v>0</v>
      </c>
      <c r="T5" s="0" t="n">
        <f aca="false">COUNTIFS('09 KANUNİ SÜRESİNDEN SONRA VERİ'!$B:$B,$A5,'09 KANUNİ SÜRESİNDEN SONRA VERİ'!$A:$A,"09.01*")</f>
        <v>0</v>
      </c>
      <c r="U5" s="0" t="n">
        <f aca="false">COUNTIFS('09 KANUNİ SÜRESİNDEN SONRA VERİ'!$B:$B,$A5,'09 KANUNİ SÜRESİNDEN SONRA VERİ'!$A:$A,"09.02*")</f>
        <v>0</v>
      </c>
      <c r="V5" s="0" t="n">
        <f aca="false">COUNTIFS('09 KANUNİ SÜRESİNDEN SONRA VERİ'!$B:$B,$A5,'09 KANUNİ SÜRESİNDEN SONRA VERİ'!$A:$A,"09.03*")</f>
        <v>0</v>
      </c>
      <c r="W5" s="0" t="n">
        <f aca="false">COUNTIFS('09 KANUNİ SÜRESİNDEN SONRA VERİ'!$B:$B,$A5,'09 KANUNİ SÜRESİNDEN SONRA VERİ'!$A:$A,"09.04*")</f>
        <v>1</v>
      </c>
      <c r="X5" s="0" t="n">
        <f aca="false">COUNTIFS('09 KANUNİ SÜRESİNDEN SONRA VERİ'!$B:$B,$A5,'09 KANUNİ SÜRESİNDEN SONRA VERİ'!$A:$A,"09.05*")</f>
        <v>0</v>
      </c>
      <c r="Y5" s="1" t="n">
        <f aca="false">SUM(B5:X5)</f>
        <v>70</v>
      </c>
    </row>
    <row r="6" customFormat="false" ht="15" hidden="false" customHeight="false" outlineLevel="0" collapsed="false">
      <c r="A6" s="0" t="s">
        <v>28</v>
      </c>
      <c r="B6" s="0" t="n">
        <f aca="false">COUNTIFS('03 VERGİ İNCELEME RAPORU'!$B:$B,$A6,'03 VERGİ İNCELEME RAPORU'!$A:$A,"03.01*")</f>
        <v>1</v>
      </c>
      <c r="C6" s="0" t="n">
        <f aca="false">COUNTIFS('03 VERGİ İNCELEME RAPORU'!$B:$B,$A6,'03 VERGİ İNCELEME RAPORU'!$A:$A,"03.02*")</f>
        <v>0</v>
      </c>
      <c r="D6" s="0" t="n">
        <f aca="false">COUNTIFS('03 VERGİ İNCELEME RAPORU'!$B:$B,$A6,'03 VERGİ İNCELEME RAPORU'!$A:$A,"03.03*")</f>
        <v>8</v>
      </c>
      <c r="E6" s="0" t="n">
        <f aca="false">COUNTIFS('03 VERGİ İNCELEME RAPORU'!$B:$B,$A6,'03 VERGİ İNCELEME RAPORU'!$A:$A,"03.04*")</f>
        <v>0</v>
      </c>
      <c r="F6" s="0" t="n">
        <f aca="false">COUNTIFS('03 VERGİ İNCELEME RAPORU'!$B:$B,$A6,'03 VERGİ İNCELEME RAPORU'!$A:$A,"03.05*")</f>
        <v>1</v>
      </c>
      <c r="G6" s="0" t="n">
        <f aca="false">COUNTIFS('03 VERGİ İNCELEME RAPORU'!$B:$B,$A6,'03 VERGİ İNCELEME RAPORU'!$A:$A,"03.06*")</f>
        <v>0</v>
      </c>
      <c r="H6" s="0" t="n">
        <f aca="false">COUNTIFS('03 VERGİ İNCELEME RAPORU'!$B:$B,$A6,'03 VERGİ İNCELEME RAPORU'!$A:$A,"03.08*")</f>
        <v>0</v>
      </c>
      <c r="I6" s="0" t="n">
        <f aca="false">COUNTIFS('05 TAKDİRİ SEVK İŞLEMLERİ'!$B:$B,$A6,'05 TAKDİRİ SEVK İŞLEMLERİ'!$A:$A,"05.01*")</f>
        <v>0</v>
      </c>
      <c r="J6" s="0" t="n">
        <f aca="false">COUNTIFS('05 TAKDİRİ SEVK İŞLEMLERİ'!$B:$B,$A6,'05 TAKDİRİ SEVK İŞLEMLERİ'!$A:$A,"05.02*")</f>
        <v>6</v>
      </c>
      <c r="K6" s="0" t="n">
        <f aca="false">COUNTIFS('05 TAKDİRİ SEVK İŞLEMLERİ'!$B:$B,$A6,'05 TAKDİRİ SEVK İŞLEMLERİ'!$A:$A,"05.03*")</f>
        <v>24</v>
      </c>
      <c r="L6" s="0" t="n">
        <f aca="false">COUNTIFS('05 TAKDİRİ SEVK İŞLEMLERİ'!$B:$B,$A6,'05 TAKDİRİ SEVK İŞLEMLERİ'!$A:$A,"05.04*")</f>
        <v>0</v>
      </c>
      <c r="M6" s="0" t="n">
        <f aca="false">COUNTIFS('05 TAKDİRİ SEVK İŞLEMLERİ'!$B:$B,$A6,'05 TAKDİRİ SEVK İŞLEMLERİ'!$A:$A,"05.05*")</f>
        <v>0</v>
      </c>
      <c r="N6" s="0" t="n">
        <f aca="false">COUNTIFS('06 VERGİ CEZA İHBARNAMELERİ'!$B:$B,$A6,'06 VERGİ CEZA İHBARNAMELERİ'!$A:$A,"06.01*")</f>
        <v>3</v>
      </c>
      <c r="O6" s="0" t="n">
        <f aca="false">COUNTIFS('06 VERGİ CEZA İHBARNAMELERİ'!$B:$B,$A6,'06 VERGİ CEZA İHBARNAMELERİ'!$A:$A,"06.02*")</f>
        <v>10</v>
      </c>
      <c r="P6" s="0" t="n">
        <f aca="false">COUNTIFS('06 VERGİ CEZA İHBARNAMELERİ'!$B:$B,$A6,'06 VERGİ CEZA İHBARNAMELERİ'!$A:$A,"06.03*")</f>
        <v>16</v>
      </c>
      <c r="Q6" s="0" t="n">
        <f aca="false">COUNTIFS('06 VERGİ CEZA İHBARNAMELERİ'!$B:$B,$A6,'06 VERGİ CEZA İHBARNAMELERİ'!$A:$A,"06.04*")</f>
        <v>19</v>
      </c>
      <c r="R6" s="0" t="n">
        <f aca="false">COUNTIFS('06 VERGİ CEZA İHBARNAMELERİ'!$B:$B,$A6,'06 VERGİ CEZA İHBARNAMELERİ'!$A:$A,"06.05*")</f>
        <v>4</v>
      </c>
      <c r="S6" s="0" t="n">
        <f aca="false">COUNTIFS('08 SÜREKSİZ YÜKÜMLÜLÜKLER'!$B:$B,$A6,'08 SÜREKSİZ YÜKÜMLÜLÜKLER'!$A:$A,"08.04*")</f>
        <v>0</v>
      </c>
      <c r="T6" s="0" t="n">
        <f aca="false">COUNTIFS('09 KANUNİ SÜRESİNDEN SONRA VERİ'!$B:$B,$A6,'09 KANUNİ SÜRESİNDEN SONRA VERİ'!$A:$A,"09.01*")</f>
        <v>0</v>
      </c>
      <c r="U6" s="0" t="n">
        <f aca="false">COUNTIFS('09 KANUNİ SÜRESİNDEN SONRA VERİ'!$B:$B,$A6,'09 KANUNİ SÜRESİNDEN SONRA VERİ'!$A:$A,"09.02*")</f>
        <v>0</v>
      </c>
      <c r="V6" s="0" t="n">
        <f aca="false">COUNTIFS('09 KANUNİ SÜRESİNDEN SONRA VERİ'!$B:$B,$A6,'09 KANUNİ SÜRESİNDEN SONRA VERİ'!$A:$A,"09.03*")</f>
        <v>0</v>
      </c>
      <c r="W6" s="0" t="n">
        <f aca="false">COUNTIFS('09 KANUNİ SÜRESİNDEN SONRA VERİ'!$B:$B,$A6,'09 KANUNİ SÜRESİNDEN SONRA VERİ'!$A:$A,"09.04*")</f>
        <v>0</v>
      </c>
      <c r="X6" s="0" t="n">
        <f aca="false">COUNTIFS('09 KANUNİ SÜRESİNDEN SONRA VERİ'!$B:$B,$A6,'09 KANUNİ SÜRESİNDEN SONRA VERİ'!$A:$A,"09.05*")</f>
        <v>4</v>
      </c>
      <c r="Y6" s="1" t="n">
        <f aca="false">SUM(B6:X6)</f>
        <v>96</v>
      </c>
    </row>
    <row r="7" customFormat="false" ht="15" hidden="false" customHeight="false" outlineLevel="0" collapsed="false">
      <c r="A7" s="0" t="s">
        <v>29</v>
      </c>
      <c r="B7" s="0" t="n">
        <f aca="false">COUNTIFS('03 VERGİ İNCELEME RAPORU'!$B:$B,$A7,'03 VERGİ İNCELEME RAPORU'!$A:$A,"03.01*")</f>
        <v>0</v>
      </c>
      <c r="C7" s="0" t="n">
        <f aca="false">COUNTIFS('03 VERGİ İNCELEME RAPORU'!$B:$B,$A7,'03 VERGİ İNCELEME RAPORU'!$A:$A,"03.02*")</f>
        <v>0</v>
      </c>
      <c r="D7" s="0" t="n">
        <f aca="false">COUNTIFS('03 VERGİ İNCELEME RAPORU'!$B:$B,$A7,'03 VERGİ İNCELEME RAPORU'!$A:$A,"03.03*")</f>
        <v>0</v>
      </c>
      <c r="E7" s="0" t="n">
        <f aca="false">COUNTIFS('03 VERGİ İNCELEME RAPORU'!$B:$B,$A7,'03 VERGİ İNCELEME RAPORU'!$A:$A,"03.04*")</f>
        <v>0</v>
      </c>
      <c r="F7" s="0" t="n">
        <f aca="false">COUNTIFS('03 VERGİ İNCELEME RAPORU'!$B:$B,$A7,'03 VERGİ İNCELEME RAPORU'!$A:$A,"03.05*")</f>
        <v>0</v>
      </c>
      <c r="G7" s="0" t="n">
        <f aca="false">COUNTIFS('03 VERGİ İNCELEME RAPORU'!$B:$B,$A7,'03 VERGİ İNCELEME RAPORU'!$A:$A,"03.06*")</f>
        <v>0</v>
      </c>
      <c r="H7" s="0" t="n">
        <f aca="false">COUNTIFS('03 VERGİ İNCELEME RAPORU'!$B:$B,$A7,'03 VERGİ İNCELEME RAPORU'!$A:$A,"03.08*")</f>
        <v>0</v>
      </c>
      <c r="I7" s="0" t="n">
        <f aca="false">COUNTIFS('05 TAKDİRİ SEVK İŞLEMLERİ'!$B:$B,$A7,'05 TAKDİRİ SEVK İŞLEMLERİ'!$A:$A,"05.01*")</f>
        <v>0</v>
      </c>
      <c r="J7" s="0" t="n">
        <f aca="false">COUNTIFS('05 TAKDİRİ SEVK İŞLEMLERİ'!$B:$B,$A7,'05 TAKDİRİ SEVK İŞLEMLERİ'!$A:$A,"05.02*")</f>
        <v>0</v>
      </c>
      <c r="K7" s="0" t="n">
        <f aca="false">COUNTIFS('05 TAKDİRİ SEVK İŞLEMLERİ'!$B:$B,$A7,'05 TAKDİRİ SEVK İŞLEMLERİ'!$A:$A,"05.03*")</f>
        <v>3</v>
      </c>
      <c r="L7" s="0" t="n">
        <f aca="false">COUNTIFS('05 TAKDİRİ SEVK İŞLEMLERİ'!$B:$B,$A7,'05 TAKDİRİ SEVK İŞLEMLERİ'!$A:$A,"05.04*")</f>
        <v>0</v>
      </c>
      <c r="M7" s="0" t="n">
        <f aca="false">COUNTIFS('05 TAKDİRİ SEVK İŞLEMLERİ'!$B:$B,$A7,'05 TAKDİRİ SEVK İŞLEMLERİ'!$A:$A,"05.05*")</f>
        <v>0</v>
      </c>
      <c r="N7" s="0" t="n">
        <f aca="false">COUNTIFS('06 VERGİ CEZA İHBARNAMELERİ'!$B:$B,$A7,'06 VERGİ CEZA İHBARNAMELERİ'!$A:$A,"06.01*")</f>
        <v>0</v>
      </c>
      <c r="O7" s="0" t="n">
        <f aca="false">COUNTIFS('06 VERGİ CEZA İHBARNAMELERİ'!$B:$B,$A7,'06 VERGİ CEZA İHBARNAMELERİ'!$A:$A,"06.02*")</f>
        <v>47</v>
      </c>
      <c r="P7" s="0" t="n">
        <f aca="false">COUNTIFS('06 VERGİ CEZA İHBARNAMELERİ'!$B:$B,$A7,'06 VERGİ CEZA İHBARNAMELERİ'!$A:$A,"06.03*")</f>
        <v>1</v>
      </c>
      <c r="Q7" s="0" t="n">
        <f aca="false">COUNTIFS('06 VERGİ CEZA İHBARNAMELERİ'!$B:$B,$A7,'06 VERGİ CEZA İHBARNAMELERİ'!$A:$A,"06.04*")</f>
        <v>6</v>
      </c>
      <c r="R7" s="0" t="n">
        <f aca="false">COUNTIFS('06 VERGİ CEZA İHBARNAMELERİ'!$B:$B,$A7,'06 VERGİ CEZA İHBARNAMELERİ'!$A:$A,"06.05*")</f>
        <v>2</v>
      </c>
      <c r="S7" s="0" t="n">
        <f aca="false">COUNTIFS('08 SÜREKSİZ YÜKÜMLÜLÜKLER'!$B:$B,$A7,'08 SÜREKSİZ YÜKÜMLÜLÜKLER'!$A:$A,"08.04*")</f>
        <v>0</v>
      </c>
      <c r="T7" s="0" t="n">
        <f aca="false">COUNTIFS('09 KANUNİ SÜRESİNDEN SONRA VERİ'!$B:$B,$A7,'09 KANUNİ SÜRESİNDEN SONRA VERİ'!$A:$A,"09.01*")</f>
        <v>0</v>
      </c>
      <c r="U7" s="0" t="n">
        <f aca="false">COUNTIFS('09 KANUNİ SÜRESİNDEN SONRA VERİ'!$B:$B,$A7,'09 KANUNİ SÜRESİNDEN SONRA VERİ'!$A:$A,"09.02*")</f>
        <v>0</v>
      </c>
      <c r="V7" s="0" t="n">
        <f aca="false">COUNTIFS('09 KANUNİ SÜRESİNDEN SONRA VERİ'!$B:$B,$A7,'09 KANUNİ SÜRESİNDEN SONRA VERİ'!$A:$A,"09.03*")</f>
        <v>1</v>
      </c>
      <c r="W7" s="0" t="n">
        <f aca="false">COUNTIFS('09 KANUNİ SÜRESİNDEN SONRA VERİ'!$B:$B,$A7,'09 KANUNİ SÜRESİNDEN SONRA VERİ'!$A:$A,"09.04*")</f>
        <v>4</v>
      </c>
      <c r="X7" s="0" t="n">
        <f aca="false">COUNTIFS('09 KANUNİ SÜRESİNDEN SONRA VERİ'!$B:$B,$A7,'09 KANUNİ SÜRESİNDEN SONRA VERİ'!$A:$A,"09.05*")</f>
        <v>1</v>
      </c>
      <c r="Y7" s="1" t="n">
        <f aca="false">SUM(B7:X7)</f>
        <v>65</v>
      </c>
    </row>
    <row r="8" customFormat="false" ht="15" hidden="false" customHeight="false" outlineLevel="0" collapsed="false">
      <c r="A8" s="0" t="s">
        <v>30</v>
      </c>
      <c r="B8" s="0" t="n">
        <f aca="false">COUNTIFS('03 VERGİ İNCELEME RAPORU'!$B:$B,$A8,'03 VERGİ İNCELEME RAPORU'!$A:$A,"03.01*")</f>
        <v>0</v>
      </c>
      <c r="C8" s="0" t="n">
        <f aca="false">COUNTIFS('03 VERGİ İNCELEME RAPORU'!$B:$B,$A8,'03 VERGİ İNCELEME RAPORU'!$A:$A,"03.02*")</f>
        <v>2</v>
      </c>
      <c r="D8" s="0" t="n">
        <f aca="false">COUNTIFS('03 VERGİ İNCELEME RAPORU'!$B:$B,$A8,'03 VERGİ İNCELEME RAPORU'!$A:$A,"03.03*")</f>
        <v>0</v>
      </c>
      <c r="E8" s="0" t="n">
        <f aca="false">COUNTIFS('03 VERGİ İNCELEME RAPORU'!$B:$B,$A8,'03 VERGİ İNCELEME RAPORU'!$A:$A,"03.04*")</f>
        <v>26</v>
      </c>
      <c r="F8" s="0" t="n">
        <f aca="false">COUNTIFS('03 VERGİ İNCELEME RAPORU'!$B:$B,$A8,'03 VERGİ İNCELEME RAPORU'!$A:$A,"03.05*")</f>
        <v>23</v>
      </c>
      <c r="G8" s="0" t="n">
        <f aca="false">COUNTIFS('03 VERGİ İNCELEME RAPORU'!$B:$B,$A8,'03 VERGİ İNCELEME RAPORU'!$A:$A,"03.06*")</f>
        <v>0</v>
      </c>
      <c r="H8" s="0" t="n">
        <f aca="false">COUNTIFS('03 VERGİ İNCELEME RAPORU'!$B:$B,$A8,'03 VERGİ İNCELEME RAPORU'!$A:$A,"03.08*")</f>
        <v>0</v>
      </c>
      <c r="I8" s="0" t="n">
        <f aca="false">COUNTIFS('05 TAKDİRİ SEVK İŞLEMLERİ'!$B:$B,$A8,'05 TAKDİRİ SEVK İŞLEMLERİ'!$A:$A,"05.01*")</f>
        <v>0</v>
      </c>
      <c r="J8" s="0" t="n">
        <f aca="false">COUNTIFS('05 TAKDİRİ SEVK İŞLEMLERİ'!$B:$B,$A8,'05 TAKDİRİ SEVK İŞLEMLERİ'!$A:$A,"05.02*")</f>
        <v>1</v>
      </c>
      <c r="K8" s="0" t="n">
        <f aca="false">COUNTIFS('05 TAKDİRİ SEVK İŞLEMLERİ'!$B:$B,$A8,'05 TAKDİRİ SEVK İŞLEMLERİ'!$A:$A,"05.03*")</f>
        <v>25</v>
      </c>
      <c r="L8" s="0" t="n">
        <f aca="false">COUNTIFS('05 TAKDİRİ SEVK İŞLEMLERİ'!$B:$B,$A8,'05 TAKDİRİ SEVK İŞLEMLERİ'!$A:$A,"05.04*")</f>
        <v>0</v>
      </c>
      <c r="M8" s="0" t="n">
        <f aca="false">COUNTIFS('05 TAKDİRİ SEVK İŞLEMLERİ'!$B:$B,$A8,'05 TAKDİRİ SEVK İŞLEMLERİ'!$A:$A,"05.05*")</f>
        <v>2</v>
      </c>
      <c r="N8" s="0" t="n">
        <f aca="false">COUNTIFS('06 VERGİ CEZA İHBARNAMELERİ'!$B:$B,$A8,'06 VERGİ CEZA İHBARNAMELERİ'!$A:$A,"06.01*")</f>
        <v>1</v>
      </c>
      <c r="O8" s="0" t="n">
        <f aca="false">COUNTIFS('06 VERGİ CEZA İHBARNAMELERİ'!$B:$B,$A8,'06 VERGİ CEZA İHBARNAMELERİ'!$A:$A,"06.02*")</f>
        <v>9</v>
      </c>
      <c r="P8" s="0" t="n">
        <f aca="false">COUNTIFS('06 VERGİ CEZA İHBARNAMELERİ'!$B:$B,$A8,'06 VERGİ CEZA İHBARNAMELERİ'!$A:$A,"06.03*")</f>
        <v>8</v>
      </c>
      <c r="Q8" s="0" t="n">
        <f aca="false">COUNTIFS('06 VERGİ CEZA İHBARNAMELERİ'!$B:$B,$A8,'06 VERGİ CEZA İHBARNAMELERİ'!$A:$A,"06.04*")</f>
        <v>1</v>
      </c>
      <c r="R8" s="0" t="n">
        <f aca="false">COUNTIFS('06 VERGİ CEZA İHBARNAMELERİ'!$B:$B,$A8,'06 VERGİ CEZA İHBARNAMELERİ'!$A:$A,"06.05*")</f>
        <v>7</v>
      </c>
      <c r="S8" s="0" t="n">
        <f aca="false">COUNTIFS('08 SÜREKSİZ YÜKÜMLÜLÜKLER'!$B:$B,$A8,'08 SÜREKSİZ YÜKÜMLÜLÜKLER'!$A:$A,"08.04*")</f>
        <v>0</v>
      </c>
      <c r="T8" s="0" t="n">
        <f aca="false">COUNTIFS('09 KANUNİ SÜRESİNDEN SONRA VERİ'!$B:$B,$A8,'09 KANUNİ SÜRESİNDEN SONRA VERİ'!$A:$A,"09.01*")</f>
        <v>0</v>
      </c>
      <c r="U8" s="0" t="n">
        <f aca="false">COUNTIFS('09 KANUNİ SÜRESİNDEN SONRA VERİ'!$B:$B,$A8,'09 KANUNİ SÜRESİNDEN SONRA VERİ'!$A:$A,"09.02*")</f>
        <v>0</v>
      </c>
      <c r="V8" s="0" t="n">
        <f aca="false">COUNTIFS('09 KANUNİ SÜRESİNDEN SONRA VERİ'!$B:$B,$A8,'09 KANUNİ SÜRESİNDEN SONRA VERİ'!$A:$A,"09.03*")</f>
        <v>1</v>
      </c>
      <c r="W8" s="0" t="n">
        <f aca="false">COUNTIFS('09 KANUNİ SÜRESİNDEN SONRA VERİ'!$B:$B,$A8,'09 KANUNİ SÜRESİNDEN SONRA VERİ'!$A:$A,"09.04*")</f>
        <v>1</v>
      </c>
      <c r="X8" s="0" t="n">
        <f aca="false">COUNTIFS('09 KANUNİ SÜRESİNDEN SONRA VERİ'!$B:$B,$A8,'09 KANUNİ SÜRESİNDEN SONRA VERİ'!$A:$A,"09.05*")</f>
        <v>2</v>
      </c>
      <c r="Y8" s="1" t="n">
        <f aca="false">SUM(B8:X8)</f>
        <v>109</v>
      </c>
    </row>
    <row r="9" customFormat="false" ht="15" hidden="false" customHeight="false" outlineLevel="0" collapsed="false">
      <c r="A9" s="0" t="s">
        <v>31</v>
      </c>
      <c r="B9" s="0" t="n">
        <f aca="false">COUNTIFS('03 VERGİ İNCELEME RAPORU'!$B:$B,$A9,'03 VERGİ İNCELEME RAPORU'!$A:$A,"03.01*")</f>
        <v>1</v>
      </c>
      <c r="C9" s="0" t="n">
        <f aca="false">COUNTIFS('03 VERGİ İNCELEME RAPORU'!$B:$B,$A9,'03 VERGİ İNCELEME RAPORU'!$A:$A,"03.02*")</f>
        <v>0</v>
      </c>
      <c r="D9" s="0" t="n">
        <f aca="false">COUNTIFS('03 VERGİ İNCELEME RAPORU'!$B:$B,$A9,'03 VERGİ İNCELEME RAPORU'!$A:$A,"03.03*")</f>
        <v>0</v>
      </c>
      <c r="E9" s="0" t="n">
        <f aca="false">COUNTIFS('03 VERGİ İNCELEME RAPORU'!$B:$B,$A9,'03 VERGİ İNCELEME RAPORU'!$A:$A,"03.04*")</f>
        <v>0</v>
      </c>
      <c r="F9" s="0" t="n">
        <f aca="false">COUNTIFS('03 VERGİ İNCELEME RAPORU'!$B:$B,$A9,'03 VERGİ İNCELEME RAPORU'!$A:$A,"03.05*")</f>
        <v>20</v>
      </c>
      <c r="G9" s="0" t="n">
        <f aca="false">COUNTIFS('03 VERGİ İNCELEME RAPORU'!$B:$B,$A9,'03 VERGİ İNCELEME RAPORU'!$A:$A,"03.06*")</f>
        <v>0</v>
      </c>
      <c r="H9" s="0" t="n">
        <f aca="false">COUNTIFS('03 VERGİ İNCELEME RAPORU'!$B:$B,$A9,'03 VERGİ İNCELEME RAPORU'!$A:$A,"03.08*")</f>
        <v>1</v>
      </c>
      <c r="I9" s="0" t="n">
        <f aca="false">COUNTIFS('05 TAKDİRİ SEVK İŞLEMLERİ'!$B:$B,$A9,'05 TAKDİRİ SEVK İŞLEMLERİ'!$A:$A,"05.01*")</f>
        <v>0</v>
      </c>
      <c r="J9" s="0" t="n">
        <f aca="false">COUNTIFS('05 TAKDİRİ SEVK İŞLEMLERİ'!$B:$B,$A9,'05 TAKDİRİ SEVK İŞLEMLERİ'!$A:$A,"05.02*")</f>
        <v>6</v>
      </c>
      <c r="K9" s="0" t="n">
        <f aca="false">COUNTIFS('05 TAKDİRİ SEVK İŞLEMLERİ'!$B:$B,$A9,'05 TAKDİRİ SEVK İŞLEMLERİ'!$A:$A,"05.03*")</f>
        <v>12</v>
      </c>
      <c r="L9" s="0" t="n">
        <f aca="false">COUNTIFS('05 TAKDİRİ SEVK İŞLEMLERİ'!$B:$B,$A9,'05 TAKDİRİ SEVK İŞLEMLERİ'!$A:$A,"05.04*")</f>
        <v>0</v>
      </c>
      <c r="M9" s="0" t="n">
        <f aca="false">COUNTIFS('05 TAKDİRİ SEVK İŞLEMLERİ'!$B:$B,$A9,'05 TAKDİRİ SEVK İŞLEMLERİ'!$A:$A,"05.05*")</f>
        <v>1</v>
      </c>
      <c r="N9" s="0" t="n">
        <f aca="false">COUNTIFS('06 VERGİ CEZA İHBARNAMELERİ'!$B:$B,$A9,'06 VERGİ CEZA İHBARNAMELERİ'!$A:$A,"06.01*")</f>
        <v>2</v>
      </c>
      <c r="O9" s="0" t="n">
        <f aca="false">COUNTIFS('06 VERGİ CEZA İHBARNAMELERİ'!$B:$B,$A9,'06 VERGİ CEZA İHBARNAMELERİ'!$A:$A,"06.02*")</f>
        <v>2</v>
      </c>
      <c r="P9" s="0" t="n">
        <f aca="false">COUNTIFS('06 VERGİ CEZA İHBARNAMELERİ'!$B:$B,$A9,'06 VERGİ CEZA İHBARNAMELERİ'!$A:$A,"06.03*")</f>
        <v>10</v>
      </c>
      <c r="Q9" s="0" t="n">
        <f aca="false">COUNTIFS('06 VERGİ CEZA İHBARNAMELERİ'!$B:$B,$A9,'06 VERGİ CEZA İHBARNAMELERİ'!$A:$A,"06.04*")</f>
        <v>13</v>
      </c>
      <c r="R9" s="0" t="n">
        <f aca="false">COUNTIFS('06 VERGİ CEZA İHBARNAMELERİ'!$B:$B,$A9,'06 VERGİ CEZA İHBARNAMELERİ'!$A:$A,"06.05*")</f>
        <v>2</v>
      </c>
      <c r="S9" s="0" t="n">
        <f aca="false">COUNTIFS('08 SÜREKSİZ YÜKÜMLÜLÜKLER'!$B:$B,$A9,'08 SÜREKSİZ YÜKÜMLÜLÜKLER'!$A:$A,"08.04*")</f>
        <v>0</v>
      </c>
      <c r="T9" s="0" t="n">
        <f aca="false">COUNTIFS('09 KANUNİ SÜRESİNDEN SONRA VERİ'!$B:$B,$A9,'09 KANUNİ SÜRESİNDEN SONRA VERİ'!$A:$A,"09.01*")</f>
        <v>1</v>
      </c>
      <c r="U9" s="0" t="n">
        <f aca="false">COUNTIFS('09 KANUNİ SÜRESİNDEN SONRA VERİ'!$B:$B,$A9,'09 KANUNİ SÜRESİNDEN SONRA VERİ'!$A:$A,"09.02*")</f>
        <v>1</v>
      </c>
      <c r="V9" s="0" t="n">
        <f aca="false">COUNTIFS('09 KANUNİ SÜRESİNDEN SONRA VERİ'!$B:$B,$A9,'09 KANUNİ SÜRESİNDEN SONRA VERİ'!$A:$A,"09.03*")</f>
        <v>0</v>
      </c>
      <c r="W9" s="0" t="n">
        <f aca="false">COUNTIFS('09 KANUNİ SÜRESİNDEN SONRA VERİ'!$B:$B,$A9,'09 KANUNİ SÜRESİNDEN SONRA VERİ'!$A:$A,"09.04*")</f>
        <v>3</v>
      </c>
      <c r="X9" s="0" t="n">
        <f aca="false">COUNTIFS('09 KANUNİ SÜRESİNDEN SONRA VERİ'!$B:$B,$A9,'09 KANUNİ SÜRESİNDEN SONRA VERİ'!$A:$A,"09.05*")</f>
        <v>2</v>
      </c>
      <c r="Y9" s="1" t="n">
        <f aca="false">SUM(B9:X9)</f>
        <v>77</v>
      </c>
    </row>
    <row r="10" customFormat="false" ht="15" hidden="false" customHeight="false" outlineLevel="0" collapsed="false">
      <c r="A10" s="0" t="s">
        <v>32</v>
      </c>
      <c r="B10" s="0" t="n">
        <f aca="false">COUNTIFS('03 VERGİ İNCELEME RAPORU'!$B:$B,$A10,'03 VERGİ İNCELEME RAPORU'!$A:$A,"03.01*")</f>
        <v>0</v>
      </c>
      <c r="C10" s="0" t="n">
        <f aca="false">COUNTIFS('03 VERGİ İNCELEME RAPORU'!$B:$B,$A10,'03 VERGİ İNCELEME RAPORU'!$A:$A,"03.02*")</f>
        <v>0</v>
      </c>
      <c r="D10" s="0" t="n">
        <f aca="false">COUNTIFS('03 VERGİ İNCELEME RAPORU'!$B:$B,$A10,'03 VERGİ İNCELEME RAPORU'!$A:$A,"03.03*")</f>
        <v>0</v>
      </c>
      <c r="E10" s="0" t="n">
        <f aca="false">COUNTIFS('03 VERGİ İNCELEME RAPORU'!$B:$B,$A10,'03 VERGİ İNCELEME RAPORU'!$A:$A,"03.04*")</f>
        <v>0</v>
      </c>
      <c r="F10" s="0" t="n">
        <f aca="false">COUNTIFS('03 VERGİ İNCELEME RAPORU'!$B:$B,$A10,'03 VERGİ İNCELEME RAPORU'!$A:$A,"03.05*")</f>
        <v>9</v>
      </c>
      <c r="G10" s="0" t="n">
        <f aca="false">COUNTIFS('03 VERGİ İNCELEME RAPORU'!$B:$B,$A10,'03 VERGİ İNCELEME RAPORU'!$A:$A,"03.06*")</f>
        <v>0</v>
      </c>
      <c r="H10" s="0" t="n">
        <f aca="false">COUNTIFS('03 VERGİ İNCELEME RAPORU'!$B:$B,$A10,'03 VERGİ İNCELEME RAPORU'!$A:$A,"03.08*")</f>
        <v>0</v>
      </c>
      <c r="I10" s="0" t="n">
        <f aca="false">COUNTIFS('05 TAKDİRİ SEVK İŞLEMLERİ'!$B:$B,$A10,'05 TAKDİRİ SEVK İŞLEMLERİ'!$A:$A,"05.01*")</f>
        <v>0</v>
      </c>
      <c r="J10" s="0" t="n">
        <f aca="false">COUNTIFS('05 TAKDİRİ SEVK İŞLEMLERİ'!$B:$B,$A10,'05 TAKDİRİ SEVK İŞLEMLERİ'!$A:$A,"05.02*")</f>
        <v>6</v>
      </c>
      <c r="K10" s="0" t="n">
        <f aca="false">COUNTIFS('05 TAKDİRİ SEVK İŞLEMLERİ'!$B:$B,$A10,'05 TAKDİRİ SEVK İŞLEMLERİ'!$A:$A,"05.03*")</f>
        <v>3</v>
      </c>
      <c r="L10" s="0" t="n">
        <f aca="false">COUNTIFS('05 TAKDİRİ SEVK İŞLEMLERİ'!$B:$B,$A10,'05 TAKDİRİ SEVK İŞLEMLERİ'!$A:$A,"05.04*")</f>
        <v>0</v>
      </c>
      <c r="M10" s="0" t="n">
        <f aca="false">COUNTIFS('05 TAKDİRİ SEVK İŞLEMLERİ'!$B:$B,$A10,'05 TAKDİRİ SEVK İŞLEMLERİ'!$A:$A,"05.05*")</f>
        <v>2</v>
      </c>
      <c r="N10" s="0" t="n">
        <f aca="false">COUNTIFS('06 VERGİ CEZA İHBARNAMELERİ'!$B:$B,$A10,'06 VERGİ CEZA İHBARNAMELERİ'!$A:$A,"06.01*")</f>
        <v>1</v>
      </c>
      <c r="O10" s="0" t="n">
        <f aca="false">COUNTIFS('06 VERGİ CEZA İHBARNAMELERİ'!$B:$B,$A10,'06 VERGİ CEZA İHBARNAMELERİ'!$A:$A,"06.02*")</f>
        <v>4</v>
      </c>
      <c r="P10" s="0" t="n">
        <f aca="false">COUNTIFS('06 VERGİ CEZA İHBARNAMELERİ'!$B:$B,$A10,'06 VERGİ CEZA İHBARNAMELERİ'!$A:$A,"06.03*")</f>
        <v>35</v>
      </c>
      <c r="Q10" s="0" t="n">
        <f aca="false">COUNTIFS('06 VERGİ CEZA İHBARNAMELERİ'!$B:$B,$A10,'06 VERGİ CEZA İHBARNAMELERİ'!$A:$A,"06.04*")</f>
        <v>3</v>
      </c>
      <c r="R10" s="0" t="n">
        <f aca="false">COUNTIFS('06 VERGİ CEZA İHBARNAMELERİ'!$B:$B,$A10,'06 VERGİ CEZA İHBARNAMELERİ'!$A:$A,"06.05*")</f>
        <v>3</v>
      </c>
      <c r="S10" s="0" t="n">
        <f aca="false">COUNTIFS('08 SÜREKSİZ YÜKÜMLÜLÜKLER'!$B:$B,$A10,'08 SÜREKSİZ YÜKÜMLÜLÜKLER'!$A:$A,"08.04*")</f>
        <v>0</v>
      </c>
      <c r="T10" s="0" t="n">
        <f aca="false">COUNTIFS('09 KANUNİ SÜRESİNDEN SONRA VERİ'!$B:$B,$A10,'09 KANUNİ SÜRESİNDEN SONRA VERİ'!$A:$A,"09.01*")</f>
        <v>0</v>
      </c>
      <c r="U10" s="0" t="n">
        <f aca="false">COUNTIFS('09 KANUNİ SÜRESİNDEN SONRA VERİ'!$B:$B,$A10,'09 KANUNİ SÜRESİNDEN SONRA VERİ'!$A:$A,"09.02*")</f>
        <v>3</v>
      </c>
      <c r="V10" s="0" t="n">
        <f aca="false">COUNTIFS('09 KANUNİ SÜRESİNDEN SONRA VERİ'!$B:$B,$A10,'09 KANUNİ SÜRESİNDEN SONRA VERİ'!$A:$A,"09.03*")</f>
        <v>0</v>
      </c>
      <c r="W10" s="0" t="n">
        <f aca="false">COUNTIFS('09 KANUNİ SÜRESİNDEN SONRA VERİ'!$B:$B,$A10,'09 KANUNİ SÜRESİNDEN SONRA VERİ'!$A:$A,"09.04*")</f>
        <v>4</v>
      </c>
      <c r="X10" s="0" t="n">
        <f aca="false">COUNTIFS('09 KANUNİ SÜRESİNDEN SONRA VERİ'!$B:$B,$A10,'09 KANUNİ SÜRESİNDEN SONRA VERİ'!$A:$A,"09.05*")</f>
        <v>0</v>
      </c>
      <c r="Y10" s="1" t="n">
        <f aca="false">SUM(B10:X10)</f>
        <v>73</v>
      </c>
    </row>
    <row r="11" customFormat="false" ht="15" hidden="false" customHeight="false" outlineLevel="0" collapsed="false">
      <c r="A11" s="0" t="s">
        <v>33</v>
      </c>
      <c r="B11" s="0" t="n">
        <f aca="false">COUNTIFS('03 VERGİ İNCELEME RAPORU'!$B:$B,$A11,'03 VERGİ İNCELEME RAPORU'!$A:$A,"03.01*")</f>
        <v>0</v>
      </c>
      <c r="C11" s="0" t="n">
        <f aca="false">COUNTIFS('03 VERGİ İNCELEME RAPORU'!$B:$B,$A11,'03 VERGİ İNCELEME RAPORU'!$A:$A,"03.02*")</f>
        <v>0</v>
      </c>
      <c r="D11" s="0" t="n">
        <f aca="false">COUNTIFS('03 VERGİ İNCELEME RAPORU'!$B:$B,$A11,'03 VERGİ İNCELEME RAPORU'!$A:$A,"03.03*")</f>
        <v>0</v>
      </c>
      <c r="E11" s="0" t="n">
        <f aca="false">COUNTIFS('03 VERGİ İNCELEME RAPORU'!$B:$B,$A11,'03 VERGİ İNCELEME RAPORU'!$A:$A,"03.04*")</f>
        <v>0</v>
      </c>
      <c r="F11" s="0" t="n">
        <f aca="false">COUNTIFS('03 VERGİ İNCELEME RAPORU'!$B:$B,$A11,'03 VERGİ İNCELEME RAPORU'!$A:$A,"03.05*")</f>
        <v>0</v>
      </c>
      <c r="G11" s="0" t="n">
        <f aca="false">COUNTIFS('03 VERGİ İNCELEME RAPORU'!$B:$B,$A11,'03 VERGİ İNCELEME RAPORU'!$A:$A,"03.06*")</f>
        <v>0</v>
      </c>
      <c r="H11" s="0" t="n">
        <f aca="false">COUNTIFS('03 VERGİ İNCELEME RAPORU'!$B:$B,$A11,'03 VERGİ İNCELEME RAPORU'!$A:$A,"03.08*")</f>
        <v>0</v>
      </c>
      <c r="I11" s="0" t="n">
        <f aca="false">COUNTIFS('05 TAKDİRİ SEVK İŞLEMLERİ'!$B:$B,$A11,'05 TAKDİRİ SEVK İŞLEMLERİ'!$A:$A,"05.01*")</f>
        <v>0</v>
      </c>
      <c r="J11" s="0" t="n">
        <f aca="false">COUNTIFS('05 TAKDİRİ SEVK İŞLEMLERİ'!$B:$B,$A11,'05 TAKDİRİ SEVK İŞLEMLERİ'!$A:$A,"05.02*")</f>
        <v>1</v>
      </c>
      <c r="K11" s="0" t="n">
        <f aca="false">COUNTIFS('05 TAKDİRİ SEVK İŞLEMLERİ'!$B:$B,$A11,'05 TAKDİRİ SEVK İŞLEMLERİ'!$A:$A,"05.03*")</f>
        <v>0</v>
      </c>
      <c r="L11" s="0" t="n">
        <f aca="false">COUNTIFS('05 TAKDİRİ SEVK İŞLEMLERİ'!$B:$B,$A11,'05 TAKDİRİ SEVK İŞLEMLERİ'!$A:$A,"05.04*")</f>
        <v>0</v>
      </c>
      <c r="M11" s="0" t="n">
        <f aca="false">COUNTIFS('05 TAKDİRİ SEVK İŞLEMLERİ'!$B:$B,$A11,'05 TAKDİRİ SEVK İŞLEMLERİ'!$A:$A,"05.05*")</f>
        <v>1</v>
      </c>
      <c r="N11" s="0" t="n">
        <f aca="false">COUNTIFS('06 VERGİ CEZA İHBARNAMELERİ'!$B:$B,$A11,'06 VERGİ CEZA İHBARNAMELERİ'!$A:$A,"06.01*")</f>
        <v>0</v>
      </c>
      <c r="O11" s="0" t="n">
        <f aca="false">COUNTIFS('06 VERGİ CEZA İHBARNAMELERİ'!$B:$B,$A11,'06 VERGİ CEZA İHBARNAMELERİ'!$A:$A,"06.02*")</f>
        <v>10</v>
      </c>
      <c r="P11" s="0" t="n">
        <f aca="false">COUNTIFS('06 VERGİ CEZA İHBARNAMELERİ'!$B:$B,$A11,'06 VERGİ CEZA İHBARNAMELERİ'!$A:$A,"06.03*")</f>
        <v>17</v>
      </c>
      <c r="Q11" s="0" t="n">
        <f aca="false">COUNTIFS('06 VERGİ CEZA İHBARNAMELERİ'!$B:$B,$A11,'06 VERGİ CEZA İHBARNAMELERİ'!$A:$A,"06.04*")</f>
        <v>0</v>
      </c>
      <c r="R11" s="0" t="n">
        <f aca="false">COUNTIFS('06 VERGİ CEZA İHBARNAMELERİ'!$B:$B,$A11,'06 VERGİ CEZA İHBARNAMELERİ'!$A:$A,"06.05*")</f>
        <v>2</v>
      </c>
      <c r="S11" s="0" t="n">
        <f aca="false">COUNTIFS('08 SÜREKSİZ YÜKÜMLÜLÜKLER'!$B:$B,$A11,'08 SÜREKSİZ YÜKÜMLÜLÜKLER'!$A:$A,"08.04*")</f>
        <v>0</v>
      </c>
      <c r="T11" s="0" t="n">
        <f aca="false">COUNTIFS('09 KANUNİ SÜRESİNDEN SONRA VERİ'!$B:$B,$A11,'09 KANUNİ SÜRESİNDEN SONRA VERİ'!$A:$A,"09.01*")</f>
        <v>0</v>
      </c>
      <c r="U11" s="0" t="n">
        <f aca="false">COUNTIFS('09 KANUNİ SÜRESİNDEN SONRA VERİ'!$B:$B,$A11,'09 KANUNİ SÜRESİNDEN SONRA VERİ'!$A:$A,"09.02*")</f>
        <v>0</v>
      </c>
      <c r="V11" s="0" t="n">
        <f aca="false">COUNTIFS('09 KANUNİ SÜRESİNDEN SONRA VERİ'!$B:$B,$A11,'09 KANUNİ SÜRESİNDEN SONRA VERİ'!$A:$A,"09.03*")</f>
        <v>0</v>
      </c>
      <c r="W11" s="0" t="n">
        <f aca="false">COUNTIFS('09 KANUNİ SÜRESİNDEN SONRA VERİ'!$B:$B,$A11,'09 KANUNİ SÜRESİNDEN SONRA VERİ'!$A:$A,"09.04*")</f>
        <v>2</v>
      </c>
      <c r="X11" s="0" t="n">
        <f aca="false">COUNTIFS('09 KANUNİ SÜRESİNDEN SONRA VERİ'!$B:$B,$A11,'09 KANUNİ SÜRESİNDEN SONRA VERİ'!$A:$A,"09.05*")</f>
        <v>2</v>
      </c>
      <c r="Y11" s="1" t="n">
        <f aca="false">SUM(B11:X11)</f>
        <v>35</v>
      </c>
    </row>
    <row r="12" customFormat="false" ht="15" hidden="false" customHeight="false" outlineLevel="0" collapsed="false">
      <c r="A12" s="0" t="s">
        <v>34</v>
      </c>
      <c r="B12" s="0" t="n">
        <f aca="false">COUNTIFS('03 VERGİ İNCELEME RAPORU'!$B:$B,$A12,'03 VERGİ İNCELEME RAPORU'!$A:$A,"03.01*")</f>
        <v>0</v>
      </c>
      <c r="C12" s="0" t="n">
        <f aca="false">COUNTIFS('03 VERGİ İNCELEME RAPORU'!$B:$B,$A12,'03 VERGİ İNCELEME RAPORU'!$A:$A,"03.02*")</f>
        <v>0</v>
      </c>
      <c r="D12" s="0" t="n">
        <f aca="false">COUNTIFS('03 VERGİ İNCELEME RAPORU'!$B:$B,$A12,'03 VERGİ İNCELEME RAPORU'!$A:$A,"03.03*")</f>
        <v>0</v>
      </c>
      <c r="E12" s="0" t="n">
        <f aca="false">COUNTIFS('03 VERGİ İNCELEME RAPORU'!$B:$B,$A12,'03 VERGİ İNCELEME RAPORU'!$A:$A,"03.04*")</f>
        <v>0</v>
      </c>
      <c r="F12" s="0" t="n">
        <f aca="false">COUNTIFS('03 VERGİ İNCELEME RAPORU'!$B:$B,$A12,'03 VERGİ İNCELEME RAPORU'!$A:$A,"03.05*")</f>
        <v>6</v>
      </c>
      <c r="G12" s="0" t="n">
        <f aca="false">COUNTIFS('03 VERGİ İNCELEME RAPORU'!$B:$B,$A12,'03 VERGİ İNCELEME RAPORU'!$A:$A,"03.06*")</f>
        <v>0</v>
      </c>
      <c r="H12" s="0" t="n">
        <f aca="false">COUNTIFS('03 VERGİ İNCELEME RAPORU'!$B:$B,$A12,'03 VERGİ İNCELEME RAPORU'!$A:$A,"03.08*")</f>
        <v>0</v>
      </c>
      <c r="I12" s="0" t="n">
        <f aca="false">COUNTIFS('05 TAKDİRİ SEVK İŞLEMLERİ'!$B:$B,$A12,'05 TAKDİRİ SEVK İŞLEMLERİ'!$A:$A,"05.01*")</f>
        <v>0</v>
      </c>
      <c r="J12" s="0" t="n">
        <f aca="false">COUNTIFS('05 TAKDİRİ SEVK İŞLEMLERİ'!$B:$B,$A12,'05 TAKDİRİ SEVK İŞLEMLERİ'!$A:$A,"05.02*")</f>
        <v>1</v>
      </c>
      <c r="K12" s="0" t="n">
        <f aca="false">COUNTIFS('05 TAKDİRİ SEVK İŞLEMLERİ'!$B:$B,$A12,'05 TAKDİRİ SEVK İŞLEMLERİ'!$A:$A,"05.03*")</f>
        <v>0</v>
      </c>
      <c r="L12" s="0" t="n">
        <f aca="false">COUNTIFS('05 TAKDİRİ SEVK İŞLEMLERİ'!$B:$B,$A12,'05 TAKDİRİ SEVK İŞLEMLERİ'!$A:$A,"05.04*")</f>
        <v>0</v>
      </c>
      <c r="M12" s="0" t="n">
        <f aca="false">COUNTIFS('05 TAKDİRİ SEVK İŞLEMLERİ'!$B:$B,$A12,'05 TAKDİRİ SEVK İŞLEMLERİ'!$A:$A,"05.05*")</f>
        <v>1</v>
      </c>
      <c r="N12" s="0" t="n">
        <f aca="false">COUNTIFS('06 VERGİ CEZA İHBARNAMELERİ'!$B:$B,$A12,'06 VERGİ CEZA İHBARNAMELERİ'!$A:$A,"06.01*")</f>
        <v>1</v>
      </c>
      <c r="O12" s="0" t="n">
        <f aca="false">COUNTIFS('06 VERGİ CEZA İHBARNAMELERİ'!$B:$B,$A12,'06 VERGİ CEZA İHBARNAMELERİ'!$A:$A,"06.02*")</f>
        <v>6</v>
      </c>
      <c r="P12" s="0" t="n">
        <f aca="false">COUNTIFS('06 VERGİ CEZA İHBARNAMELERİ'!$B:$B,$A12,'06 VERGİ CEZA İHBARNAMELERİ'!$A:$A,"06.03*")</f>
        <v>2</v>
      </c>
      <c r="Q12" s="0" t="n">
        <f aca="false">COUNTIFS('06 VERGİ CEZA İHBARNAMELERİ'!$B:$B,$A12,'06 VERGİ CEZA İHBARNAMELERİ'!$A:$A,"06.04*")</f>
        <v>14</v>
      </c>
      <c r="R12" s="0" t="n">
        <f aca="false">COUNTIFS('06 VERGİ CEZA İHBARNAMELERİ'!$B:$B,$A12,'06 VERGİ CEZA İHBARNAMELERİ'!$A:$A,"06.05*")</f>
        <v>6</v>
      </c>
      <c r="S12" s="0" t="n">
        <f aca="false">COUNTIFS('08 SÜREKSİZ YÜKÜMLÜLÜKLER'!$B:$B,$A12,'08 SÜREKSİZ YÜKÜMLÜLÜKLER'!$A:$A,"08.04*")</f>
        <v>5</v>
      </c>
      <c r="T12" s="0" t="n">
        <f aca="false">COUNTIFS('09 KANUNİ SÜRESİNDEN SONRA VERİ'!$B:$B,$A12,'09 KANUNİ SÜRESİNDEN SONRA VERİ'!$A:$A,"09.01*")</f>
        <v>0</v>
      </c>
      <c r="U12" s="0" t="n">
        <f aca="false">COUNTIFS('09 KANUNİ SÜRESİNDEN SONRA VERİ'!$B:$B,$A12,'09 KANUNİ SÜRESİNDEN SONRA VERİ'!$A:$A,"09.02*")</f>
        <v>0</v>
      </c>
      <c r="V12" s="0" t="n">
        <f aca="false">COUNTIFS('09 KANUNİ SÜRESİNDEN SONRA VERİ'!$B:$B,$A12,'09 KANUNİ SÜRESİNDEN SONRA VERİ'!$A:$A,"09.03*")</f>
        <v>0</v>
      </c>
      <c r="W12" s="0" t="n">
        <f aca="false">COUNTIFS('09 KANUNİ SÜRESİNDEN SONRA VERİ'!$B:$B,$A12,'09 KANUNİ SÜRESİNDEN SONRA VERİ'!$A:$A,"09.04*")</f>
        <v>2</v>
      </c>
      <c r="X12" s="0" t="n">
        <f aca="false">COUNTIFS('09 KANUNİ SÜRESİNDEN SONRA VERİ'!$B:$B,$A12,'09 KANUNİ SÜRESİNDEN SONRA VERİ'!$A:$A,"09.05*")</f>
        <v>3</v>
      </c>
      <c r="Y12" s="1" t="n">
        <f aca="false">SUM(B12:X12)</f>
        <v>47</v>
      </c>
    </row>
    <row r="13" customFormat="false" ht="15" hidden="false" customHeight="false" outlineLevel="0" collapsed="false">
      <c r="A13" s="0" t="s">
        <v>35</v>
      </c>
      <c r="B13" s="0" t="n">
        <f aca="false">COUNTIFS('03 VERGİ İNCELEME RAPORU'!$B:$B,$A13,'03 VERGİ İNCELEME RAPORU'!$A:$A,"03.01*")</f>
        <v>0</v>
      </c>
      <c r="C13" s="0" t="n">
        <f aca="false">COUNTIFS('03 VERGİ İNCELEME RAPORU'!$B:$B,$A13,'03 VERGİ İNCELEME RAPORU'!$A:$A,"03.02*")</f>
        <v>0</v>
      </c>
      <c r="D13" s="0" t="n">
        <f aca="false">COUNTIFS('03 VERGİ İNCELEME RAPORU'!$B:$B,$A13,'03 VERGİ İNCELEME RAPORU'!$A:$A,"03.03*")</f>
        <v>0</v>
      </c>
      <c r="E13" s="0" t="n">
        <f aca="false">COUNTIFS('03 VERGİ İNCELEME RAPORU'!$B:$B,$A13,'03 VERGİ İNCELEME RAPORU'!$A:$A,"03.04*")</f>
        <v>1</v>
      </c>
      <c r="F13" s="0" t="n">
        <f aca="false">COUNTIFS('03 VERGİ İNCELEME RAPORU'!$B:$B,$A13,'03 VERGİ İNCELEME RAPORU'!$A:$A,"03.05*")</f>
        <v>2</v>
      </c>
      <c r="G13" s="0" t="n">
        <f aca="false">COUNTIFS('03 VERGİ İNCELEME RAPORU'!$B:$B,$A13,'03 VERGİ İNCELEME RAPORU'!$A:$A,"03.06*")</f>
        <v>0</v>
      </c>
      <c r="H13" s="0" t="n">
        <f aca="false">COUNTIFS('03 VERGİ İNCELEME RAPORU'!$B:$B,$A13,'03 VERGİ İNCELEME RAPORU'!$A:$A,"03.08*")</f>
        <v>0</v>
      </c>
      <c r="I13" s="0" t="n">
        <f aca="false">COUNTIFS('05 TAKDİRİ SEVK İŞLEMLERİ'!$B:$B,$A13,'05 TAKDİRİ SEVK İŞLEMLERİ'!$A:$A,"05.01*")</f>
        <v>0</v>
      </c>
      <c r="J13" s="0" t="n">
        <f aca="false">COUNTIFS('05 TAKDİRİ SEVK İŞLEMLERİ'!$B:$B,$A13,'05 TAKDİRİ SEVK İŞLEMLERİ'!$A:$A,"05.02*")</f>
        <v>3</v>
      </c>
      <c r="K13" s="0" t="n">
        <f aca="false">COUNTIFS('05 TAKDİRİ SEVK İŞLEMLERİ'!$B:$B,$A13,'05 TAKDİRİ SEVK İŞLEMLERİ'!$A:$A,"05.03*")</f>
        <v>12</v>
      </c>
      <c r="L13" s="0" t="n">
        <f aca="false">COUNTIFS('05 TAKDİRİ SEVK İŞLEMLERİ'!$B:$B,$A13,'05 TAKDİRİ SEVK İŞLEMLERİ'!$A:$A,"05.04*")</f>
        <v>11</v>
      </c>
      <c r="M13" s="0" t="n">
        <f aca="false">COUNTIFS('05 TAKDİRİ SEVK İŞLEMLERİ'!$B:$B,$A13,'05 TAKDİRİ SEVK İŞLEMLERİ'!$A:$A,"05.05*")</f>
        <v>0</v>
      </c>
      <c r="N13" s="0" t="n">
        <f aca="false">COUNTIFS('06 VERGİ CEZA İHBARNAMELERİ'!$B:$B,$A13,'06 VERGİ CEZA İHBARNAMELERİ'!$A:$A,"06.01*")</f>
        <v>115</v>
      </c>
      <c r="O13" s="0" t="n">
        <f aca="false">COUNTIFS('06 VERGİ CEZA İHBARNAMELERİ'!$B:$B,$A13,'06 VERGİ CEZA İHBARNAMELERİ'!$A:$A,"06.02*")</f>
        <v>11</v>
      </c>
      <c r="P13" s="0" t="n">
        <f aca="false">COUNTIFS('06 VERGİ CEZA İHBARNAMELERİ'!$B:$B,$A13,'06 VERGİ CEZA İHBARNAMELERİ'!$A:$A,"06.03*")</f>
        <v>0</v>
      </c>
      <c r="Q13" s="0" t="n">
        <f aca="false">COUNTIFS('06 VERGİ CEZA İHBARNAMELERİ'!$B:$B,$A13,'06 VERGİ CEZA İHBARNAMELERİ'!$A:$A,"06.04*")</f>
        <v>31</v>
      </c>
      <c r="R13" s="0" t="n">
        <f aca="false">COUNTIFS('06 VERGİ CEZA İHBARNAMELERİ'!$B:$B,$A13,'06 VERGİ CEZA İHBARNAMELERİ'!$A:$A,"06.05*")</f>
        <v>2</v>
      </c>
      <c r="S13" s="0" t="n">
        <f aca="false">COUNTIFS('08 SÜREKSİZ YÜKÜMLÜLÜKLER'!$B:$B,$A13,'08 SÜREKSİZ YÜKÜMLÜLÜKLER'!$A:$A,"08.04*")</f>
        <v>0</v>
      </c>
      <c r="T13" s="0" t="n">
        <f aca="false">COUNTIFS('09 KANUNİ SÜRESİNDEN SONRA VERİ'!$B:$B,$A13,'09 KANUNİ SÜRESİNDEN SONRA VERİ'!$A:$A,"09.01*")</f>
        <v>0</v>
      </c>
      <c r="U13" s="0" t="n">
        <f aca="false">COUNTIFS('09 KANUNİ SÜRESİNDEN SONRA VERİ'!$B:$B,$A13,'09 KANUNİ SÜRESİNDEN SONRA VERİ'!$A:$A,"09.02*")</f>
        <v>0</v>
      </c>
      <c r="V13" s="0" t="n">
        <f aca="false">COUNTIFS('09 KANUNİ SÜRESİNDEN SONRA VERİ'!$B:$B,$A13,'09 KANUNİ SÜRESİNDEN SONRA VERİ'!$A:$A,"09.03*")</f>
        <v>0</v>
      </c>
      <c r="W13" s="0" t="n">
        <f aca="false">COUNTIFS('09 KANUNİ SÜRESİNDEN SONRA VERİ'!$B:$B,$A13,'09 KANUNİ SÜRESİNDEN SONRA VERİ'!$A:$A,"09.04*")</f>
        <v>0</v>
      </c>
      <c r="X13" s="0" t="n">
        <f aca="false">COUNTIFS('09 KANUNİ SÜRESİNDEN SONRA VERİ'!$B:$B,$A13,'09 KANUNİ SÜRESİNDEN SONRA VERİ'!$A:$A,"09.05*")</f>
        <v>1</v>
      </c>
      <c r="Y13" s="1" t="n">
        <f aca="false">SUM(B13:X13)</f>
        <v>189</v>
      </c>
    </row>
    <row r="14" customFormat="false" ht="15" hidden="false" customHeight="false" outlineLevel="0" collapsed="false">
      <c r="A14" s="0" t="s">
        <v>36</v>
      </c>
      <c r="B14" s="0" t="n">
        <f aca="false">COUNTIFS('03 VERGİ İNCELEME RAPORU'!$B:$B,$A14,'03 VERGİ İNCELEME RAPORU'!$A:$A,"03.01*")</f>
        <v>1</v>
      </c>
      <c r="C14" s="0" t="n">
        <f aca="false">COUNTIFS('03 VERGİ İNCELEME RAPORU'!$B:$B,$A14,'03 VERGİ İNCELEME RAPORU'!$A:$A,"03.02*")</f>
        <v>0</v>
      </c>
      <c r="D14" s="0" t="n">
        <f aca="false">COUNTIFS('03 VERGİ İNCELEME RAPORU'!$B:$B,$A14,'03 VERGİ İNCELEME RAPORU'!$A:$A,"03.03*")</f>
        <v>0</v>
      </c>
      <c r="E14" s="0" t="n">
        <f aca="false">COUNTIFS('03 VERGİ İNCELEME RAPORU'!$B:$B,$A14,'03 VERGİ İNCELEME RAPORU'!$A:$A,"03.04*")</f>
        <v>0</v>
      </c>
      <c r="F14" s="0" t="n">
        <f aca="false">COUNTIFS('03 VERGİ İNCELEME RAPORU'!$B:$B,$A14,'03 VERGİ İNCELEME RAPORU'!$A:$A,"03.05*")</f>
        <v>10</v>
      </c>
      <c r="G14" s="0" t="n">
        <f aca="false">COUNTIFS('03 VERGİ İNCELEME RAPORU'!$B:$B,$A14,'03 VERGİ İNCELEME RAPORU'!$A:$A,"03.06*")</f>
        <v>1</v>
      </c>
      <c r="H14" s="0" t="n">
        <f aca="false">COUNTIFS('03 VERGİ İNCELEME RAPORU'!$B:$B,$A14,'03 VERGİ İNCELEME RAPORU'!$A:$A,"03.08*")</f>
        <v>0</v>
      </c>
      <c r="I14" s="0" t="n">
        <f aca="false">COUNTIFS('05 TAKDİRİ SEVK İŞLEMLERİ'!$B:$B,$A14,'05 TAKDİRİ SEVK İŞLEMLERİ'!$A:$A,"05.01*")</f>
        <v>1</v>
      </c>
      <c r="J14" s="0" t="n">
        <f aca="false">COUNTIFS('05 TAKDİRİ SEVK İŞLEMLERİ'!$B:$B,$A14,'05 TAKDİRİ SEVK İŞLEMLERİ'!$A:$A,"05.02*")</f>
        <v>1</v>
      </c>
      <c r="K14" s="0" t="n">
        <f aca="false">COUNTIFS('05 TAKDİRİ SEVK İŞLEMLERİ'!$B:$B,$A14,'05 TAKDİRİ SEVK İŞLEMLERİ'!$A:$A,"05.03*")</f>
        <v>4</v>
      </c>
      <c r="L14" s="0" t="n">
        <f aca="false">COUNTIFS('05 TAKDİRİ SEVK İŞLEMLERİ'!$B:$B,$A14,'05 TAKDİRİ SEVK İŞLEMLERİ'!$A:$A,"05.04*")</f>
        <v>3</v>
      </c>
      <c r="M14" s="0" t="n">
        <f aca="false">COUNTIFS('05 TAKDİRİ SEVK İŞLEMLERİ'!$B:$B,$A14,'05 TAKDİRİ SEVK İŞLEMLERİ'!$A:$A,"05.05*")</f>
        <v>0</v>
      </c>
      <c r="N14" s="0" t="n">
        <f aca="false">COUNTIFS('06 VERGİ CEZA İHBARNAMELERİ'!$B:$B,$A14,'06 VERGİ CEZA İHBARNAMELERİ'!$A:$A,"06.01*")</f>
        <v>5</v>
      </c>
      <c r="O14" s="0" t="n">
        <f aca="false">COUNTIFS('06 VERGİ CEZA İHBARNAMELERİ'!$B:$B,$A14,'06 VERGİ CEZA İHBARNAMELERİ'!$A:$A,"06.02*")</f>
        <v>14</v>
      </c>
      <c r="P14" s="0" t="n">
        <f aca="false">COUNTIFS('06 VERGİ CEZA İHBARNAMELERİ'!$B:$B,$A14,'06 VERGİ CEZA İHBARNAMELERİ'!$A:$A,"06.03*")</f>
        <v>5</v>
      </c>
      <c r="Q14" s="0" t="n">
        <f aca="false">COUNTIFS('06 VERGİ CEZA İHBARNAMELERİ'!$B:$B,$A14,'06 VERGİ CEZA İHBARNAMELERİ'!$A:$A,"06.04*")</f>
        <v>47</v>
      </c>
      <c r="R14" s="0" t="n">
        <f aca="false">COUNTIFS('06 VERGİ CEZA İHBARNAMELERİ'!$B:$B,$A14,'06 VERGİ CEZA İHBARNAMELERİ'!$A:$A,"06.05*")</f>
        <v>2</v>
      </c>
      <c r="S14" s="0" t="n">
        <f aca="false">COUNTIFS('08 SÜREKSİZ YÜKÜMLÜLÜKLER'!$B:$B,$A14,'08 SÜREKSİZ YÜKÜMLÜLÜKLER'!$A:$A,"08.04*")</f>
        <v>7</v>
      </c>
      <c r="T14" s="0" t="n">
        <f aca="false">COUNTIFS('09 KANUNİ SÜRESİNDEN SONRA VERİ'!$B:$B,$A14,'09 KANUNİ SÜRESİNDEN SONRA VERİ'!$A:$A,"09.01*")</f>
        <v>3</v>
      </c>
      <c r="U14" s="0" t="n">
        <f aca="false">COUNTIFS('09 KANUNİ SÜRESİNDEN SONRA VERİ'!$B:$B,$A14,'09 KANUNİ SÜRESİNDEN SONRA VERİ'!$A:$A,"09.02*")</f>
        <v>3</v>
      </c>
      <c r="V14" s="0" t="n">
        <f aca="false">COUNTIFS('09 KANUNİ SÜRESİNDEN SONRA VERİ'!$B:$B,$A14,'09 KANUNİ SÜRESİNDEN SONRA VERİ'!$A:$A,"09.03*")</f>
        <v>0</v>
      </c>
      <c r="W14" s="0" t="n">
        <f aca="false">COUNTIFS('09 KANUNİ SÜRESİNDEN SONRA VERİ'!$B:$B,$A14,'09 KANUNİ SÜRESİNDEN SONRA VERİ'!$A:$A,"09.04*")</f>
        <v>2</v>
      </c>
      <c r="X14" s="0" t="n">
        <f aca="false">COUNTIFS('09 KANUNİ SÜRESİNDEN SONRA VERİ'!$B:$B,$A14,'09 KANUNİ SÜRESİNDEN SONRA VERİ'!$A:$A,"09.05*")</f>
        <v>2</v>
      </c>
      <c r="Y14" s="1" t="n">
        <f aca="false">SUM(B14:X14)</f>
        <v>111</v>
      </c>
    </row>
    <row r="15" customFormat="false" ht="15" hidden="false" customHeight="false" outlineLevel="0" collapsed="false">
      <c r="A15" s="0" t="s">
        <v>37</v>
      </c>
      <c r="B15" s="0" t="n">
        <f aca="false">COUNTIFS('03 VERGİ İNCELEME RAPORU'!$B:$B,$A15,'03 VERGİ İNCELEME RAPORU'!$A:$A,"03.01*")</f>
        <v>0</v>
      </c>
      <c r="C15" s="0" t="n">
        <f aca="false">COUNTIFS('03 VERGİ İNCELEME RAPORU'!$B:$B,$A15,'03 VERGİ İNCELEME RAPORU'!$A:$A,"03.02*")</f>
        <v>0</v>
      </c>
      <c r="D15" s="0" t="n">
        <f aca="false">COUNTIFS('03 VERGİ İNCELEME RAPORU'!$B:$B,$A15,'03 VERGİ İNCELEME RAPORU'!$A:$A,"03.03*")</f>
        <v>14</v>
      </c>
      <c r="E15" s="0" t="n">
        <f aca="false">COUNTIFS('03 VERGİ İNCELEME RAPORU'!$B:$B,$A15,'03 VERGİ İNCELEME RAPORU'!$A:$A,"03.04*")</f>
        <v>0</v>
      </c>
      <c r="F15" s="0" t="n">
        <f aca="false">COUNTIFS('03 VERGİ İNCELEME RAPORU'!$B:$B,$A15,'03 VERGİ İNCELEME RAPORU'!$A:$A,"03.05*")</f>
        <v>0</v>
      </c>
      <c r="G15" s="0" t="n">
        <f aca="false">COUNTIFS('03 VERGİ İNCELEME RAPORU'!$B:$B,$A15,'03 VERGİ İNCELEME RAPORU'!$A:$A,"03.06*")</f>
        <v>0</v>
      </c>
      <c r="H15" s="0" t="n">
        <f aca="false">COUNTIFS('03 VERGİ İNCELEME RAPORU'!$B:$B,$A15,'03 VERGİ İNCELEME RAPORU'!$A:$A,"03.08*")</f>
        <v>0</v>
      </c>
      <c r="I15" s="0" t="n">
        <f aca="false">COUNTIFS('05 TAKDİRİ SEVK İŞLEMLERİ'!$B:$B,$A15,'05 TAKDİRİ SEVK İŞLEMLERİ'!$A:$A,"05.01*")</f>
        <v>3</v>
      </c>
      <c r="J15" s="0" t="n">
        <f aca="false">COUNTIFS('05 TAKDİRİ SEVK İŞLEMLERİ'!$B:$B,$A15,'05 TAKDİRİ SEVK İŞLEMLERİ'!$A:$A,"05.02*")</f>
        <v>0</v>
      </c>
      <c r="K15" s="0" t="n">
        <f aca="false">COUNTIFS('05 TAKDİRİ SEVK İŞLEMLERİ'!$B:$B,$A15,'05 TAKDİRİ SEVK İŞLEMLERİ'!$A:$A,"05.03*")</f>
        <v>1</v>
      </c>
      <c r="L15" s="0" t="n">
        <f aca="false">COUNTIFS('05 TAKDİRİ SEVK İŞLEMLERİ'!$B:$B,$A15,'05 TAKDİRİ SEVK İŞLEMLERİ'!$A:$A,"05.04*")</f>
        <v>2</v>
      </c>
      <c r="M15" s="0" t="n">
        <f aca="false">COUNTIFS('05 TAKDİRİ SEVK İŞLEMLERİ'!$B:$B,$A15,'05 TAKDİRİ SEVK İŞLEMLERİ'!$A:$A,"05.05*")</f>
        <v>0</v>
      </c>
      <c r="N15" s="0" t="n">
        <f aca="false">COUNTIFS('06 VERGİ CEZA İHBARNAMELERİ'!$B:$B,$A15,'06 VERGİ CEZA İHBARNAMELERİ'!$A:$A,"06.01*")</f>
        <v>10</v>
      </c>
      <c r="O15" s="0" t="n">
        <f aca="false">COUNTIFS('06 VERGİ CEZA İHBARNAMELERİ'!$B:$B,$A15,'06 VERGİ CEZA İHBARNAMELERİ'!$A:$A,"06.02*")</f>
        <v>20</v>
      </c>
      <c r="P15" s="0" t="n">
        <f aca="false">COUNTIFS('06 VERGİ CEZA İHBARNAMELERİ'!$B:$B,$A15,'06 VERGİ CEZA İHBARNAMELERİ'!$A:$A,"06.03*")</f>
        <v>2</v>
      </c>
      <c r="Q15" s="0" t="n">
        <f aca="false">COUNTIFS('06 VERGİ CEZA İHBARNAMELERİ'!$B:$B,$A15,'06 VERGİ CEZA İHBARNAMELERİ'!$A:$A,"06.04*")</f>
        <v>14</v>
      </c>
      <c r="R15" s="0" t="n">
        <f aca="false">COUNTIFS('06 VERGİ CEZA İHBARNAMELERİ'!$B:$B,$A15,'06 VERGİ CEZA İHBARNAMELERİ'!$A:$A,"06.05*")</f>
        <v>4</v>
      </c>
      <c r="S15" s="0" t="n">
        <f aca="false">COUNTIFS('08 SÜREKSİZ YÜKÜMLÜLÜKLER'!$B:$B,$A15,'08 SÜREKSİZ YÜKÜMLÜLÜKLER'!$A:$A,"08.04*")</f>
        <v>7</v>
      </c>
      <c r="T15" s="0" t="n">
        <f aca="false">COUNTIFS('09 KANUNİ SÜRESİNDEN SONRA VERİ'!$B:$B,$A15,'09 KANUNİ SÜRESİNDEN SONRA VERİ'!$A:$A,"09.01*")</f>
        <v>0</v>
      </c>
      <c r="U15" s="0" t="n">
        <f aca="false">COUNTIFS('09 KANUNİ SÜRESİNDEN SONRA VERİ'!$B:$B,$A15,'09 KANUNİ SÜRESİNDEN SONRA VERİ'!$A:$A,"09.02*")</f>
        <v>0</v>
      </c>
      <c r="V15" s="0" t="n">
        <f aca="false">COUNTIFS('09 KANUNİ SÜRESİNDEN SONRA VERİ'!$B:$B,$A15,'09 KANUNİ SÜRESİNDEN SONRA VERİ'!$A:$A,"09.03*")</f>
        <v>0</v>
      </c>
      <c r="W15" s="0" t="n">
        <f aca="false">COUNTIFS('09 KANUNİ SÜRESİNDEN SONRA VERİ'!$B:$B,$A15,'09 KANUNİ SÜRESİNDEN SONRA VERİ'!$A:$A,"09.04*")</f>
        <v>2</v>
      </c>
      <c r="X15" s="0" t="n">
        <f aca="false">COUNTIFS('09 KANUNİ SÜRESİNDEN SONRA VERİ'!$B:$B,$A15,'09 KANUNİ SÜRESİNDEN SONRA VERİ'!$A:$A,"09.05*")</f>
        <v>3</v>
      </c>
      <c r="Y15" s="1" t="n">
        <f aca="false">SUM(B15:X15)</f>
        <v>82</v>
      </c>
    </row>
    <row r="16" customFormat="false" ht="15" hidden="false" customHeight="false" outlineLevel="0" collapsed="false">
      <c r="A16" s="0" t="s">
        <v>38</v>
      </c>
      <c r="B16" s="0" t="n">
        <f aca="false">COUNTIFS('03 VERGİ İNCELEME RAPORU'!$B:$B,$A16,'03 VERGİ İNCELEME RAPORU'!$A:$A,"03.01*")</f>
        <v>0</v>
      </c>
      <c r="C16" s="0" t="n">
        <f aca="false">COUNTIFS('03 VERGİ İNCELEME RAPORU'!$B:$B,$A16,'03 VERGİ İNCELEME RAPORU'!$A:$A,"03.02*")</f>
        <v>0</v>
      </c>
      <c r="D16" s="0" t="n">
        <f aca="false">COUNTIFS('03 VERGİ İNCELEME RAPORU'!$B:$B,$A16,'03 VERGİ İNCELEME RAPORU'!$A:$A,"03.03*")</f>
        <v>0</v>
      </c>
      <c r="E16" s="0" t="n">
        <f aca="false">COUNTIFS('03 VERGİ İNCELEME RAPORU'!$B:$B,$A16,'03 VERGİ İNCELEME RAPORU'!$A:$A,"03.04*")</f>
        <v>0</v>
      </c>
      <c r="F16" s="0" t="n">
        <f aca="false">COUNTIFS('03 VERGİ İNCELEME RAPORU'!$B:$B,$A16,'03 VERGİ İNCELEME RAPORU'!$A:$A,"03.05*")</f>
        <v>0</v>
      </c>
      <c r="G16" s="0" t="n">
        <f aca="false">COUNTIFS('03 VERGİ İNCELEME RAPORU'!$B:$B,$A16,'03 VERGİ İNCELEME RAPORU'!$A:$A,"03.06*")</f>
        <v>0</v>
      </c>
      <c r="H16" s="0" t="n">
        <f aca="false">COUNTIFS('03 VERGİ İNCELEME RAPORU'!$B:$B,$A16,'03 VERGİ İNCELEME RAPORU'!$A:$A,"03.08*")</f>
        <v>0</v>
      </c>
      <c r="I16" s="0" t="n">
        <f aca="false">COUNTIFS('05 TAKDİRİ SEVK İŞLEMLERİ'!$B:$B,$A16,'05 TAKDİRİ SEVK İŞLEMLERİ'!$A:$A,"05.01*")</f>
        <v>0</v>
      </c>
      <c r="J16" s="0" t="n">
        <f aca="false">COUNTIFS('05 TAKDİRİ SEVK İŞLEMLERİ'!$B:$B,$A16,'05 TAKDİRİ SEVK İŞLEMLERİ'!$A:$A,"05.02*")</f>
        <v>0</v>
      </c>
      <c r="K16" s="0" t="n">
        <f aca="false">COUNTIFS('05 TAKDİRİ SEVK İŞLEMLERİ'!$B:$B,$A16,'05 TAKDİRİ SEVK İŞLEMLERİ'!$A:$A,"05.03*")</f>
        <v>0</v>
      </c>
      <c r="L16" s="0" t="n">
        <f aca="false">COUNTIFS('05 TAKDİRİ SEVK İŞLEMLERİ'!$B:$B,$A16,'05 TAKDİRİ SEVK İŞLEMLERİ'!$A:$A,"05.04*")</f>
        <v>0</v>
      </c>
      <c r="M16" s="0" t="n">
        <f aca="false">COUNTIFS('05 TAKDİRİ SEVK İŞLEMLERİ'!$B:$B,$A16,'05 TAKDİRİ SEVK İŞLEMLERİ'!$A:$A,"05.05*")</f>
        <v>0</v>
      </c>
      <c r="N16" s="0" t="n">
        <f aca="false">COUNTIFS('06 VERGİ CEZA İHBARNAMELERİ'!$B:$B,$A16,'06 VERGİ CEZA İHBARNAMELERİ'!$A:$A,"06.01*")</f>
        <v>0</v>
      </c>
      <c r="O16" s="0" t="n">
        <f aca="false">COUNTIFS('06 VERGİ CEZA İHBARNAMELERİ'!$B:$B,$A16,'06 VERGİ CEZA İHBARNAMELERİ'!$A:$A,"06.02*")</f>
        <v>0</v>
      </c>
      <c r="P16" s="0" t="n">
        <f aca="false">COUNTIFS('06 VERGİ CEZA İHBARNAMELERİ'!$B:$B,$A16,'06 VERGİ CEZA İHBARNAMELERİ'!$A:$A,"06.03*")</f>
        <v>0</v>
      </c>
      <c r="Q16" s="0" t="n">
        <f aca="false">COUNTIFS('06 VERGİ CEZA İHBARNAMELERİ'!$B:$B,$A16,'06 VERGİ CEZA İHBARNAMELERİ'!$A:$A,"06.04*")</f>
        <v>0</v>
      </c>
      <c r="R16" s="0" t="n">
        <f aca="false">COUNTIFS('06 VERGİ CEZA İHBARNAMELERİ'!$B:$B,$A16,'06 VERGİ CEZA İHBARNAMELERİ'!$A:$A,"06.05*")</f>
        <v>0</v>
      </c>
      <c r="S16" s="0" t="n">
        <f aca="false">COUNTIFS('08 SÜREKSİZ YÜKÜMLÜLÜKLER'!$B:$B,$A16,'08 SÜREKSİZ YÜKÜMLÜLÜKLER'!$A:$A,"08.04*")</f>
        <v>0</v>
      </c>
      <c r="T16" s="0" t="n">
        <f aca="false">COUNTIFS('09 KANUNİ SÜRESİNDEN SONRA VERİ'!$B:$B,$A16,'09 KANUNİ SÜRESİNDEN SONRA VERİ'!$A:$A,"09.01*")</f>
        <v>0</v>
      </c>
      <c r="U16" s="0" t="n">
        <f aca="false">COUNTIFS('09 KANUNİ SÜRESİNDEN SONRA VERİ'!$B:$B,$A16,'09 KANUNİ SÜRESİNDEN SONRA VERİ'!$A:$A,"09.02*")</f>
        <v>0</v>
      </c>
      <c r="V16" s="0" t="n">
        <f aca="false">COUNTIFS('09 KANUNİ SÜRESİNDEN SONRA VERİ'!$B:$B,$A16,'09 KANUNİ SÜRESİNDEN SONRA VERİ'!$A:$A,"09.03*")</f>
        <v>0</v>
      </c>
      <c r="W16" s="0" t="n">
        <f aca="false">COUNTIFS('09 KANUNİ SÜRESİNDEN SONRA VERİ'!$B:$B,$A16,'09 KANUNİ SÜRESİNDEN SONRA VERİ'!$A:$A,"09.04*")</f>
        <v>0</v>
      </c>
      <c r="X16" s="0" t="n">
        <f aca="false">COUNTIFS('09 KANUNİ SÜRESİNDEN SONRA VERİ'!$B:$B,$A16,'09 KANUNİ SÜRESİNDEN SONRA VERİ'!$A:$A,"09.05*")</f>
        <v>0</v>
      </c>
      <c r="Y16" s="1" t="n">
        <f aca="false">SUM(B16:X16)</f>
        <v>0</v>
      </c>
    </row>
    <row r="17" customFormat="false" ht="15" hidden="false" customHeight="false" outlineLevel="0" collapsed="false">
      <c r="A17" s="0" t="s">
        <v>39</v>
      </c>
      <c r="B17" s="0" t="n">
        <f aca="false">COUNTIFS('03 VERGİ İNCELEME RAPORU'!$B:$B,$A17,'03 VERGİ İNCELEME RAPORU'!$A:$A,"03.01*")</f>
        <v>0</v>
      </c>
      <c r="C17" s="0" t="n">
        <f aca="false">COUNTIFS('03 VERGİ İNCELEME RAPORU'!$B:$B,$A17,'03 VERGİ İNCELEME RAPORU'!$A:$A,"03.02*")</f>
        <v>0</v>
      </c>
      <c r="D17" s="0" t="n">
        <f aca="false">COUNTIFS('03 VERGİ İNCELEME RAPORU'!$B:$B,$A17,'03 VERGİ İNCELEME RAPORU'!$A:$A,"03.03*")</f>
        <v>0</v>
      </c>
      <c r="E17" s="0" t="n">
        <f aca="false">COUNTIFS('03 VERGİ İNCELEME RAPORU'!$B:$B,$A17,'03 VERGİ İNCELEME RAPORU'!$A:$A,"03.04*")</f>
        <v>0</v>
      </c>
      <c r="F17" s="0" t="n">
        <f aca="false">COUNTIFS('03 VERGİ İNCELEME RAPORU'!$B:$B,$A17,'03 VERGİ İNCELEME RAPORU'!$A:$A,"03.05*")</f>
        <v>0</v>
      </c>
      <c r="G17" s="0" t="n">
        <f aca="false">COUNTIFS('03 VERGİ İNCELEME RAPORU'!$B:$B,$A17,'03 VERGİ İNCELEME RAPORU'!$A:$A,"03.06*")</f>
        <v>0</v>
      </c>
      <c r="H17" s="0" t="n">
        <f aca="false">COUNTIFS('03 VERGİ İNCELEME RAPORU'!$B:$B,$A17,'03 VERGİ İNCELEME RAPORU'!$A:$A,"03.08*")</f>
        <v>0</v>
      </c>
      <c r="I17" s="0" t="n">
        <f aca="false">COUNTIFS('05 TAKDİRİ SEVK İŞLEMLERİ'!$B:$B,$A17,'05 TAKDİRİ SEVK İŞLEMLERİ'!$A:$A,"05.01*")</f>
        <v>0</v>
      </c>
      <c r="J17" s="0" t="n">
        <f aca="false">COUNTIFS('05 TAKDİRİ SEVK İŞLEMLERİ'!$B:$B,$A17,'05 TAKDİRİ SEVK İŞLEMLERİ'!$A:$A,"05.02*")</f>
        <v>0</v>
      </c>
      <c r="K17" s="0" t="n">
        <f aca="false">COUNTIFS('05 TAKDİRİ SEVK İŞLEMLERİ'!$B:$B,$A17,'05 TAKDİRİ SEVK İŞLEMLERİ'!$A:$A,"05.03*")</f>
        <v>0</v>
      </c>
      <c r="L17" s="0" t="n">
        <f aca="false">COUNTIFS('05 TAKDİRİ SEVK İŞLEMLERİ'!$B:$B,$A17,'05 TAKDİRİ SEVK İŞLEMLERİ'!$A:$A,"05.04*")</f>
        <v>0</v>
      </c>
      <c r="M17" s="0" t="n">
        <f aca="false">COUNTIFS('05 TAKDİRİ SEVK İŞLEMLERİ'!$B:$B,$A17,'05 TAKDİRİ SEVK İŞLEMLERİ'!$A:$A,"05.05*")</f>
        <v>0</v>
      </c>
      <c r="N17" s="0" t="n">
        <f aca="false">COUNTIFS('06 VERGİ CEZA İHBARNAMELERİ'!$B:$B,$A17,'06 VERGİ CEZA İHBARNAMELERİ'!$A:$A,"06.01*")</f>
        <v>0</v>
      </c>
      <c r="O17" s="0" t="n">
        <f aca="false">COUNTIFS('06 VERGİ CEZA İHBARNAMELERİ'!$B:$B,$A17,'06 VERGİ CEZA İHBARNAMELERİ'!$A:$A,"06.02*")</f>
        <v>0</v>
      </c>
      <c r="P17" s="0" t="n">
        <f aca="false">COUNTIFS('06 VERGİ CEZA İHBARNAMELERİ'!$B:$B,$A17,'06 VERGİ CEZA İHBARNAMELERİ'!$A:$A,"06.03*")</f>
        <v>0</v>
      </c>
      <c r="Q17" s="0" t="n">
        <f aca="false">COUNTIFS('06 VERGİ CEZA İHBARNAMELERİ'!$B:$B,$A17,'06 VERGİ CEZA İHBARNAMELERİ'!$A:$A,"06.04*")</f>
        <v>0</v>
      </c>
      <c r="R17" s="0" t="n">
        <f aca="false">COUNTIFS('06 VERGİ CEZA İHBARNAMELERİ'!$B:$B,$A17,'06 VERGİ CEZA İHBARNAMELERİ'!$A:$A,"06.05*")</f>
        <v>0</v>
      </c>
      <c r="S17" s="0" t="n">
        <f aca="false">COUNTIFS('08 SÜREKSİZ YÜKÜMLÜLÜKLER'!$B:$B,$A17,'08 SÜREKSİZ YÜKÜMLÜLÜKLER'!$A:$A,"08.04*")</f>
        <v>0</v>
      </c>
      <c r="T17" s="0" t="n">
        <f aca="false">COUNTIFS('09 KANUNİ SÜRESİNDEN SONRA VERİ'!$B:$B,$A17,'09 KANUNİ SÜRESİNDEN SONRA VERİ'!$A:$A,"09.01*")</f>
        <v>0</v>
      </c>
      <c r="U17" s="0" t="n">
        <f aca="false">COUNTIFS('09 KANUNİ SÜRESİNDEN SONRA VERİ'!$B:$B,$A17,'09 KANUNİ SÜRESİNDEN SONRA VERİ'!$A:$A,"09.02*")</f>
        <v>0</v>
      </c>
      <c r="V17" s="0" t="n">
        <f aca="false">COUNTIFS('09 KANUNİ SÜRESİNDEN SONRA VERİ'!$B:$B,$A17,'09 KANUNİ SÜRESİNDEN SONRA VERİ'!$A:$A,"09.03*")</f>
        <v>0</v>
      </c>
      <c r="W17" s="0" t="n">
        <f aca="false">COUNTIFS('09 KANUNİ SÜRESİNDEN SONRA VERİ'!$B:$B,$A17,'09 KANUNİ SÜRESİNDEN SONRA VERİ'!$A:$A,"09.04*")</f>
        <v>0</v>
      </c>
      <c r="X17" s="0" t="n">
        <f aca="false">COUNTIFS('09 KANUNİ SÜRESİNDEN SONRA VERİ'!$B:$B,$A17,'09 KANUNİ SÜRESİNDEN SONRA VERİ'!$A:$A,"09.05*")</f>
        <v>0</v>
      </c>
      <c r="Y17" s="1" t="n">
        <f aca="false">SUM(B17:X17)</f>
        <v>0</v>
      </c>
    </row>
    <row r="18" customFormat="false" ht="15" hidden="false" customHeight="false" outlineLevel="0" collapsed="false">
      <c r="A18" s="1" t="s">
        <v>25</v>
      </c>
      <c r="B18" s="1" t="n">
        <f aca="false">SUM(B4:B17)</f>
        <v>4</v>
      </c>
      <c r="C18" s="1" t="n">
        <f aca="false">SUM(C4:C17)</f>
        <v>2</v>
      </c>
      <c r="D18" s="1" t="n">
        <f aca="false">SUM(D4:D17)</f>
        <v>30</v>
      </c>
      <c r="E18" s="1" t="n">
        <f aca="false">SUM(E4:E17)</f>
        <v>27</v>
      </c>
      <c r="F18" s="1" t="n">
        <f aca="false">SUM(F4:F17)</f>
        <v>71</v>
      </c>
      <c r="G18" s="1" t="n">
        <f aca="false">SUM(G4:G17)</f>
        <v>1</v>
      </c>
      <c r="H18" s="1" t="n">
        <f aca="false">SUM(H4:H17)</f>
        <v>1</v>
      </c>
      <c r="I18" s="1" t="n">
        <f aca="false">SUM(I4:I17)</f>
        <v>4</v>
      </c>
      <c r="J18" s="1" t="n">
        <f aca="false">SUM(J4:J17)</f>
        <v>25</v>
      </c>
      <c r="K18" s="1" t="n">
        <f aca="false">SUM(K4:K17)</f>
        <v>84</v>
      </c>
      <c r="L18" s="1" t="n">
        <f aca="false">SUM(L4:L17)</f>
        <v>16</v>
      </c>
      <c r="M18" s="1" t="n">
        <f aca="false">SUM(M4:M17)</f>
        <v>8</v>
      </c>
      <c r="N18" s="1" t="n">
        <f aca="false">SUM(N4:N17)</f>
        <v>186</v>
      </c>
      <c r="O18" s="1" t="n">
        <f aca="false">SUM(O4:O17)</f>
        <v>159</v>
      </c>
      <c r="P18" s="1" t="n">
        <f aca="false">SUM(P4:P17)</f>
        <v>108</v>
      </c>
      <c r="Q18" s="1" t="n">
        <f aca="false">SUM(Q4:Q17)</f>
        <v>152</v>
      </c>
      <c r="R18" s="1" t="n">
        <f aca="false">SUM(R4:R17)</f>
        <v>43</v>
      </c>
      <c r="S18" s="1" t="n">
        <f aca="false">SUM(S4:S17)</f>
        <v>19</v>
      </c>
      <c r="T18" s="1" t="n">
        <f aca="false">SUM(T4:T17)</f>
        <v>4</v>
      </c>
      <c r="U18" s="1" t="n">
        <f aca="false">SUM(U4:U17)</f>
        <v>10</v>
      </c>
      <c r="V18" s="1" t="n">
        <f aca="false">SUM(V4:V17)</f>
        <v>2</v>
      </c>
      <c r="W18" s="1" t="n">
        <f aca="false">SUM(W4:W17)</f>
        <v>21</v>
      </c>
      <c r="X18" s="1" t="n">
        <f aca="false">SUM(X4:X17)</f>
        <v>20</v>
      </c>
      <c r="Y18" s="1" t="n">
        <f aca="false">SUM(Y4:Y17)</f>
        <v>997</v>
      </c>
    </row>
    <row r="20" customFormat="false" ht="15" hidden="false" customHeight="false" outlineLevel="0" collapsed="false">
      <c r="A20" s="1" t="s">
        <v>40</v>
      </c>
    </row>
    <row r="21" customFormat="false" ht="15" hidden="false" customHeight="false" outlineLevel="0" collapsed="false">
      <c r="A21" s="3" t="s">
        <v>41</v>
      </c>
    </row>
    <row r="22" customFormat="false" ht="15" hidden="false" customHeight="false" outlineLevel="0" collapsed="false">
      <c r="A22" s="3" t="s">
        <v>42</v>
      </c>
    </row>
    <row r="23" customFormat="false" ht="15" hidden="false" customHeight="false" outlineLevel="0" collapsed="false">
      <c r="A23" s="3" t="s">
        <v>43</v>
      </c>
    </row>
    <row r="24" customFormat="false" ht="15" hidden="false" customHeight="false" outlineLevel="0" collapsed="false">
      <c r="A24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H7" activeCellId="0" sqref="H7"/>
    </sheetView>
  </sheetViews>
  <sheetFormatPr defaultColWidth="8.6796875" defaultRowHeight="13.5" zeroHeight="false" outlineLevelRow="0" outlineLevelCol="0"/>
  <cols>
    <col collapsed="false" customWidth="true" hidden="false" outlineLevel="0" max="1" min="1" style="4" width="41.54"/>
    <col collapsed="false" customWidth="true" hidden="false" outlineLevel="0" max="2" min="2" style="4" width="22"/>
    <col collapsed="false" customWidth="true" hidden="false" outlineLevel="0" max="3" min="3" style="5" width="33.57"/>
    <col collapsed="false" customWidth="true" hidden="false" outlineLevel="0" max="4" min="4" style="5" width="28.3"/>
    <col collapsed="false" customWidth="true" hidden="false" outlineLevel="0" max="5" min="5" style="5" width="20.14"/>
    <col collapsed="false" customWidth="true" hidden="false" outlineLevel="0" max="6" min="6" style="5" width="24.87"/>
    <col collapsed="false" customWidth="true" hidden="false" outlineLevel="0" max="7" min="7" style="5" width="22.79"/>
    <col collapsed="false" customWidth="true" hidden="false" outlineLevel="0" max="8" min="8" style="5" width="26.12"/>
    <col collapsed="false" customWidth="true" hidden="false" outlineLevel="0" max="9" min="9" style="5" width="43.77"/>
    <col collapsed="false" customWidth="true" hidden="false" outlineLevel="0" max="10" min="10" style="5" width="14.43"/>
    <col collapsed="false" customWidth="true" hidden="false" outlineLevel="0" max="11" min="11" style="5" width="13.15"/>
    <col collapsed="false" customWidth="true" hidden="false" outlineLevel="0" max="12" min="12" style="5" width="13.57"/>
    <col collapsed="false" customWidth="true" hidden="false" outlineLevel="0" max="13" min="13" style="5" width="27.99"/>
    <col collapsed="false" customWidth="true" hidden="false" outlineLevel="0" max="14" min="14" style="5" width="22.01"/>
    <col collapsed="false" customWidth="true" hidden="false" outlineLevel="0" max="15" min="15" style="5" width="22.15"/>
    <col collapsed="false" customWidth="true" hidden="false" outlineLevel="0" max="16" min="16" style="5" width="46.86"/>
    <col collapsed="false" customWidth="true" hidden="false" outlineLevel="0" max="17" min="17" style="5" width="44.71"/>
    <col collapsed="false" customWidth="true" hidden="false" outlineLevel="0" max="18" min="18" style="5" width="20.14"/>
    <col collapsed="false" customWidth="true" hidden="false" outlineLevel="0" max="19" min="19" style="5" width="51.71"/>
    <col collapsed="false" customWidth="true" hidden="false" outlineLevel="0" max="20" min="20" style="5" width="49.15"/>
    <col collapsed="false" customWidth="true" hidden="false" outlineLevel="0" max="21" min="21" style="5" width="25"/>
    <col collapsed="false" customWidth="false" hidden="false" outlineLevel="0" max="1024" min="22" style="6" width="8.67"/>
  </cols>
  <sheetData>
    <row r="1" customFormat="false" ht="27" hidden="false" customHeight="true" outlineLevel="0" collapsed="false">
      <c r="A1" s="7" t="s">
        <v>45</v>
      </c>
      <c r="B1" s="8" t="s">
        <v>1</v>
      </c>
      <c r="C1" s="9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  <c r="I1" s="10" t="s">
        <v>52</v>
      </c>
      <c r="J1" s="10" t="s">
        <v>53</v>
      </c>
      <c r="K1" s="10" t="s">
        <v>54</v>
      </c>
      <c r="L1" s="10" t="s">
        <v>55</v>
      </c>
      <c r="M1" s="10" t="s">
        <v>56</v>
      </c>
      <c r="N1" s="10" t="s">
        <v>57</v>
      </c>
      <c r="O1" s="10" t="s">
        <v>58</v>
      </c>
      <c r="P1" s="10" t="s">
        <v>59</v>
      </c>
      <c r="Q1" s="10" t="s">
        <v>60</v>
      </c>
      <c r="R1" s="10" t="s">
        <v>61</v>
      </c>
      <c r="S1" s="10" t="s">
        <v>62</v>
      </c>
      <c r="T1" s="10" t="s">
        <v>63</v>
      </c>
      <c r="U1" s="11" t="s">
        <v>64</v>
      </c>
    </row>
    <row r="2" customFormat="false" ht="50.25" hidden="false" customHeight="true" outlineLevel="0" collapsed="false">
      <c r="A2" s="12" t="s">
        <v>65</v>
      </c>
      <c r="B2" s="13" t="s">
        <v>31</v>
      </c>
      <c r="C2" s="14" t="s">
        <v>66</v>
      </c>
      <c r="D2" s="15" t="s">
        <v>67</v>
      </c>
      <c r="E2" s="15" t="s">
        <v>68</v>
      </c>
      <c r="F2" s="15" t="s">
        <v>69</v>
      </c>
      <c r="G2" s="15" t="s">
        <v>70</v>
      </c>
      <c r="H2" s="15" t="s">
        <v>71</v>
      </c>
      <c r="I2" s="15" t="s">
        <v>72</v>
      </c>
      <c r="J2" s="15" t="s">
        <v>73</v>
      </c>
      <c r="K2" s="15" t="s">
        <v>74</v>
      </c>
      <c r="L2" s="15" t="s">
        <v>75</v>
      </c>
      <c r="M2" s="15" t="s">
        <v>76</v>
      </c>
      <c r="N2" s="15" t="s">
        <v>77</v>
      </c>
      <c r="O2" s="15" t="s">
        <v>78</v>
      </c>
      <c r="P2" s="16" t="n">
        <v>240</v>
      </c>
      <c r="Q2" s="16" t="n">
        <v>240</v>
      </c>
      <c r="R2" s="16" t="n">
        <v>0</v>
      </c>
      <c r="S2" s="16"/>
      <c r="T2" s="16" t="n">
        <v>9000</v>
      </c>
      <c r="U2" s="17" t="n">
        <v>9000</v>
      </c>
    </row>
    <row r="5" customFormat="false" ht="13.5" hidden="false" customHeight="true" outlineLevel="0" collapsed="false">
      <c r="A5" s="7" t="s">
        <v>45</v>
      </c>
      <c r="B5" s="8" t="s">
        <v>1</v>
      </c>
      <c r="C5" s="18" t="s">
        <v>79</v>
      </c>
      <c r="D5" s="19" t="s">
        <v>57</v>
      </c>
      <c r="E5" s="19" t="s">
        <v>58</v>
      </c>
      <c r="F5" s="19" t="s">
        <v>51</v>
      </c>
      <c r="G5" s="19" t="s">
        <v>52</v>
      </c>
      <c r="H5" s="20" t="s">
        <v>53</v>
      </c>
      <c r="I5" s="19" t="s">
        <v>54</v>
      </c>
      <c r="J5" s="19" t="s">
        <v>48</v>
      </c>
      <c r="K5" s="19" t="s">
        <v>49</v>
      </c>
      <c r="L5" s="21" t="s">
        <v>80</v>
      </c>
    </row>
    <row r="6" customFormat="false" ht="34.5" hidden="false" customHeight="true" outlineLevel="0" collapsed="false">
      <c r="A6" s="12" t="s">
        <v>81</v>
      </c>
      <c r="B6" s="13" t="s">
        <v>30</v>
      </c>
      <c r="C6" s="22" t="s">
        <v>82</v>
      </c>
      <c r="D6" s="23" t="s">
        <v>77</v>
      </c>
      <c r="E6" s="23" t="s">
        <v>78</v>
      </c>
      <c r="F6" s="23" t="s">
        <v>83</v>
      </c>
      <c r="G6" s="23" t="s">
        <v>84</v>
      </c>
      <c r="H6" s="24" t="s">
        <v>85</v>
      </c>
      <c r="I6" s="23" t="s">
        <v>86</v>
      </c>
      <c r="J6" s="23" t="s">
        <v>87</v>
      </c>
      <c r="K6" s="23" t="s">
        <v>88</v>
      </c>
      <c r="L6" s="25" t="s">
        <v>89</v>
      </c>
    </row>
    <row r="7" customFormat="false" ht="34.5" hidden="false" customHeight="true" outlineLevel="0" collapsed="false">
      <c r="A7" s="12" t="s">
        <v>81</v>
      </c>
      <c r="B7" s="13" t="s">
        <v>30</v>
      </c>
      <c r="C7" s="26" t="s">
        <v>82</v>
      </c>
      <c r="D7" s="27" t="s">
        <v>77</v>
      </c>
      <c r="E7" s="27" t="s">
        <v>78</v>
      </c>
      <c r="F7" s="27" t="s">
        <v>83</v>
      </c>
      <c r="G7" s="27" t="s">
        <v>84</v>
      </c>
      <c r="H7" s="28" t="s">
        <v>85</v>
      </c>
      <c r="I7" s="27" t="s">
        <v>90</v>
      </c>
      <c r="J7" s="27" t="s">
        <v>87</v>
      </c>
      <c r="K7" s="27" t="s">
        <v>88</v>
      </c>
      <c r="L7" s="29" t="s">
        <v>89</v>
      </c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>
      <c r="A10" s="7" t="s">
        <v>45</v>
      </c>
      <c r="B10" s="8" t="s">
        <v>1</v>
      </c>
      <c r="C10" s="18" t="s">
        <v>47</v>
      </c>
      <c r="D10" s="19" t="s">
        <v>91</v>
      </c>
      <c r="E10" s="19" t="s">
        <v>92</v>
      </c>
      <c r="F10" s="19" t="s">
        <v>57</v>
      </c>
      <c r="G10" s="19" t="s">
        <v>58</v>
      </c>
      <c r="H10" s="20" t="s">
        <v>51</v>
      </c>
      <c r="I10" s="19" t="s">
        <v>52</v>
      </c>
      <c r="J10" s="19" t="s">
        <v>53</v>
      </c>
      <c r="K10" s="19" t="s">
        <v>54</v>
      </c>
      <c r="L10" s="19" t="s">
        <v>93</v>
      </c>
      <c r="M10" s="21" t="s">
        <v>94</v>
      </c>
    </row>
    <row r="11" customFormat="false" ht="34.5" hidden="false" customHeight="true" outlineLevel="0" collapsed="false">
      <c r="A11" s="12" t="s">
        <v>95</v>
      </c>
      <c r="B11" s="13" t="s">
        <v>37</v>
      </c>
      <c r="C11" s="30" t="s">
        <v>96</v>
      </c>
      <c r="D11" s="31" t="s">
        <v>97</v>
      </c>
      <c r="E11" s="31" t="s">
        <v>98</v>
      </c>
      <c r="F11" s="31" t="s">
        <v>77</v>
      </c>
      <c r="G11" s="31" t="s">
        <v>78</v>
      </c>
      <c r="H11" s="32" t="s">
        <v>99</v>
      </c>
      <c r="I11" s="31" t="s">
        <v>100</v>
      </c>
      <c r="J11" s="31" t="s">
        <v>73</v>
      </c>
      <c r="K11" s="31" t="s">
        <v>101</v>
      </c>
      <c r="L11" s="31" t="s">
        <v>102</v>
      </c>
      <c r="M11" s="33" t="s">
        <v>103</v>
      </c>
    </row>
    <row r="12" customFormat="false" ht="34.5" hidden="false" customHeight="true" outlineLevel="0" collapsed="false">
      <c r="A12" s="12" t="s">
        <v>95</v>
      </c>
      <c r="B12" s="13" t="s">
        <v>37</v>
      </c>
      <c r="C12" s="30" t="s">
        <v>104</v>
      </c>
      <c r="D12" s="31" t="s">
        <v>97</v>
      </c>
      <c r="E12" s="31" t="s">
        <v>98</v>
      </c>
      <c r="F12" s="31" t="s">
        <v>77</v>
      </c>
      <c r="G12" s="31" t="s">
        <v>78</v>
      </c>
      <c r="H12" s="32" t="s">
        <v>99</v>
      </c>
      <c r="I12" s="31" t="s">
        <v>100</v>
      </c>
      <c r="J12" s="31" t="s">
        <v>73</v>
      </c>
      <c r="K12" s="31" t="s">
        <v>105</v>
      </c>
      <c r="L12" s="31" t="s">
        <v>102</v>
      </c>
      <c r="M12" s="33" t="s">
        <v>103</v>
      </c>
    </row>
    <row r="13" customFormat="false" ht="34.5" hidden="false" customHeight="true" outlineLevel="0" collapsed="false">
      <c r="A13" s="12" t="s">
        <v>95</v>
      </c>
      <c r="B13" s="13" t="s">
        <v>37</v>
      </c>
      <c r="C13" s="30" t="s">
        <v>106</v>
      </c>
      <c r="D13" s="31" t="s">
        <v>97</v>
      </c>
      <c r="E13" s="31" t="s">
        <v>98</v>
      </c>
      <c r="F13" s="31" t="s">
        <v>77</v>
      </c>
      <c r="G13" s="31" t="s">
        <v>78</v>
      </c>
      <c r="H13" s="32" t="s">
        <v>99</v>
      </c>
      <c r="I13" s="31" t="s">
        <v>100</v>
      </c>
      <c r="J13" s="31" t="s">
        <v>107</v>
      </c>
      <c r="K13" s="31" t="s">
        <v>108</v>
      </c>
      <c r="L13" s="31" t="s">
        <v>109</v>
      </c>
      <c r="M13" s="33" t="s">
        <v>103</v>
      </c>
    </row>
    <row r="14" customFormat="false" ht="34.5" hidden="false" customHeight="true" outlineLevel="0" collapsed="false">
      <c r="A14" s="12" t="s">
        <v>95</v>
      </c>
      <c r="B14" s="13" t="s">
        <v>37</v>
      </c>
      <c r="C14" s="30" t="s">
        <v>110</v>
      </c>
      <c r="D14" s="31" t="s">
        <v>97</v>
      </c>
      <c r="E14" s="31" t="s">
        <v>98</v>
      </c>
      <c r="F14" s="31" t="s">
        <v>77</v>
      </c>
      <c r="G14" s="31" t="s">
        <v>78</v>
      </c>
      <c r="H14" s="32" t="s">
        <v>99</v>
      </c>
      <c r="I14" s="31" t="s">
        <v>100</v>
      </c>
      <c r="J14" s="31" t="s">
        <v>73</v>
      </c>
      <c r="K14" s="31" t="s">
        <v>111</v>
      </c>
      <c r="L14" s="31" t="s">
        <v>102</v>
      </c>
      <c r="M14" s="33" t="s">
        <v>103</v>
      </c>
    </row>
    <row r="15" customFormat="false" ht="34.5" hidden="false" customHeight="true" outlineLevel="0" collapsed="false">
      <c r="A15" s="12" t="s">
        <v>95</v>
      </c>
      <c r="B15" s="13" t="s">
        <v>37</v>
      </c>
      <c r="C15" s="30" t="s">
        <v>112</v>
      </c>
      <c r="D15" s="31" t="s">
        <v>97</v>
      </c>
      <c r="E15" s="31" t="s">
        <v>98</v>
      </c>
      <c r="F15" s="31" t="s">
        <v>77</v>
      </c>
      <c r="G15" s="31" t="s">
        <v>78</v>
      </c>
      <c r="H15" s="32" t="s">
        <v>99</v>
      </c>
      <c r="I15" s="31" t="s">
        <v>100</v>
      </c>
      <c r="J15" s="31" t="s">
        <v>73</v>
      </c>
      <c r="K15" s="31" t="s">
        <v>113</v>
      </c>
      <c r="L15" s="31" t="s">
        <v>102</v>
      </c>
      <c r="M15" s="33" t="s">
        <v>103</v>
      </c>
    </row>
    <row r="16" customFormat="false" ht="34.5" hidden="false" customHeight="true" outlineLevel="0" collapsed="false">
      <c r="A16" s="12" t="s">
        <v>95</v>
      </c>
      <c r="B16" s="13" t="s">
        <v>37</v>
      </c>
      <c r="C16" s="30" t="s">
        <v>114</v>
      </c>
      <c r="D16" s="31" t="s">
        <v>97</v>
      </c>
      <c r="E16" s="31" t="s">
        <v>98</v>
      </c>
      <c r="F16" s="31" t="s">
        <v>77</v>
      </c>
      <c r="G16" s="31" t="s">
        <v>78</v>
      </c>
      <c r="H16" s="32" t="s">
        <v>99</v>
      </c>
      <c r="I16" s="31" t="s">
        <v>100</v>
      </c>
      <c r="J16" s="31" t="s">
        <v>115</v>
      </c>
      <c r="K16" s="31" t="s">
        <v>116</v>
      </c>
      <c r="L16" s="31" t="s">
        <v>117</v>
      </c>
      <c r="M16" s="33" t="s">
        <v>103</v>
      </c>
    </row>
    <row r="17" customFormat="false" ht="34.5" hidden="false" customHeight="true" outlineLevel="0" collapsed="false">
      <c r="A17" s="12" t="s">
        <v>95</v>
      </c>
      <c r="B17" s="13" t="s">
        <v>37</v>
      </c>
      <c r="C17" s="30" t="s">
        <v>118</v>
      </c>
      <c r="D17" s="31" t="s">
        <v>97</v>
      </c>
      <c r="E17" s="31" t="s">
        <v>98</v>
      </c>
      <c r="F17" s="31" t="s">
        <v>77</v>
      </c>
      <c r="G17" s="31" t="s">
        <v>78</v>
      </c>
      <c r="H17" s="32" t="s">
        <v>99</v>
      </c>
      <c r="I17" s="31" t="s">
        <v>100</v>
      </c>
      <c r="J17" s="31" t="s">
        <v>73</v>
      </c>
      <c r="K17" s="31" t="s">
        <v>119</v>
      </c>
      <c r="L17" s="31" t="s">
        <v>102</v>
      </c>
      <c r="M17" s="33" t="s">
        <v>103</v>
      </c>
    </row>
    <row r="18" customFormat="false" ht="34.5" hidden="false" customHeight="true" outlineLevel="0" collapsed="false">
      <c r="A18" s="12" t="s">
        <v>95</v>
      </c>
      <c r="B18" s="13" t="s">
        <v>37</v>
      </c>
      <c r="C18" s="30" t="s">
        <v>120</v>
      </c>
      <c r="D18" s="31" t="s">
        <v>97</v>
      </c>
      <c r="E18" s="31" t="s">
        <v>98</v>
      </c>
      <c r="F18" s="31" t="s">
        <v>77</v>
      </c>
      <c r="G18" s="31" t="s">
        <v>78</v>
      </c>
      <c r="H18" s="32" t="s">
        <v>99</v>
      </c>
      <c r="I18" s="31" t="s">
        <v>100</v>
      </c>
      <c r="J18" s="31" t="s">
        <v>73</v>
      </c>
      <c r="K18" s="31" t="s">
        <v>121</v>
      </c>
      <c r="L18" s="31" t="s">
        <v>122</v>
      </c>
      <c r="M18" s="33" t="s">
        <v>103</v>
      </c>
    </row>
    <row r="19" customFormat="false" ht="34.5" hidden="false" customHeight="true" outlineLevel="0" collapsed="false">
      <c r="A19" s="12" t="s">
        <v>95</v>
      </c>
      <c r="B19" s="13" t="s">
        <v>37</v>
      </c>
      <c r="C19" s="30" t="s">
        <v>123</v>
      </c>
      <c r="D19" s="31" t="s">
        <v>97</v>
      </c>
      <c r="E19" s="31" t="s">
        <v>98</v>
      </c>
      <c r="F19" s="31" t="s">
        <v>77</v>
      </c>
      <c r="G19" s="31" t="s">
        <v>78</v>
      </c>
      <c r="H19" s="32" t="s">
        <v>99</v>
      </c>
      <c r="I19" s="31" t="s">
        <v>100</v>
      </c>
      <c r="J19" s="31" t="s">
        <v>73</v>
      </c>
      <c r="K19" s="31" t="s">
        <v>124</v>
      </c>
      <c r="L19" s="31" t="s">
        <v>102</v>
      </c>
      <c r="M19" s="33" t="s">
        <v>103</v>
      </c>
    </row>
    <row r="20" customFormat="false" ht="34.5" hidden="false" customHeight="true" outlineLevel="0" collapsed="false">
      <c r="A20" s="12" t="s">
        <v>95</v>
      </c>
      <c r="B20" s="13" t="s">
        <v>37</v>
      </c>
      <c r="C20" s="30" t="s">
        <v>125</v>
      </c>
      <c r="D20" s="31" t="s">
        <v>97</v>
      </c>
      <c r="E20" s="31" t="s">
        <v>98</v>
      </c>
      <c r="F20" s="31" t="s">
        <v>77</v>
      </c>
      <c r="G20" s="31" t="s">
        <v>78</v>
      </c>
      <c r="H20" s="32" t="s">
        <v>99</v>
      </c>
      <c r="I20" s="31" t="s">
        <v>100</v>
      </c>
      <c r="J20" s="31" t="s">
        <v>73</v>
      </c>
      <c r="K20" s="31" t="s">
        <v>126</v>
      </c>
      <c r="L20" s="31" t="s">
        <v>102</v>
      </c>
      <c r="M20" s="33" t="s">
        <v>103</v>
      </c>
    </row>
    <row r="21" customFormat="false" ht="34.5" hidden="false" customHeight="true" outlineLevel="0" collapsed="false">
      <c r="A21" s="12" t="s">
        <v>95</v>
      </c>
      <c r="B21" s="13" t="s">
        <v>37</v>
      </c>
      <c r="C21" s="30" t="s">
        <v>127</v>
      </c>
      <c r="D21" s="31" t="s">
        <v>97</v>
      </c>
      <c r="E21" s="31" t="s">
        <v>98</v>
      </c>
      <c r="F21" s="31" t="s">
        <v>77</v>
      </c>
      <c r="G21" s="31" t="s">
        <v>78</v>
      </c>
      <c r="H21" s="32" t="s">
        <v>99</v>
      </c>
      <c r="I21" s="31" t="s">
        <v>100</v>
      </c>
      <c r="J21" s="31" t="s">
        <v>73</v>
      </c>
      <c r="K21" s="31" t="s">
        <v>128</v>
      </c>
      <c r="L21" s="31" t="s">
        <v>102</v>
      </c>
      <c r="M21" s="33" t="s">
        <v>103</v>
      </c>
    </row>
    <row r="22" customFormat="false" ht="34.5" hidden="false" customHeight="true" outlineLevel="0" collapsed="false">
      <c r="A22" s="12" t="s">
        <v>95</v>
      </c>
      <c r="B22" s="13" t="s">
        <v>37</v>
      </c>
      <c r="C22" s="30" t="s">
        <v>129</v>
      </c>
      <c r="D22" s="31" t="s">
        <v>97</v>
      </c>
      <c r="E22" s="31" t="s">
        <v>98</v>
      </c>
      <c r="F22" s="31" t="s">
        <v>77</v>
      </c>
      <c r="G22" s="31" t="s">
        <v>78</v>
      </c>
      <c r="H22" s="32" t="s">
        <v>99</v>
      </c>
      <c r="I22" s="31" t="s">
        <v>100</v>
      </c>
      <c r="J22" s="31" t="s">
        <v>73</v>
      </c>
      <c r="K22" s="31" t="s">
        <v>130</v>
      </c>
      <c r="L22" s="31" t="s">
        <v>122</v>
      </c>
      <c r="M22" s="33" t="s">
        <v>103</v>
      </c>
    </row>
    <row r="23" customFormat="false" ht="34.5" hidden="false" customHeight="true" outlineLevel="0" collapsed="false">
      <c r="A23" s="12" t="s">
        <v>95</v>
      </c>
      <c r="B23" s="13" t="s">
        <v>37</v>
      </c>
      <c r="C23" s="30" t="s">
        <v>131</v>
      </c>
      <c r="D23" s="31" t="s">
        <v>97</v>
      </c>
      <c r="E23" s="31" t="s">
        <v>98</v>
      </c>
      <c r="F23" s="31" t="s">
        <v>77</v>
      </c>
      <c r="G23" s="31" t="s">
        <v>78</v>
      </c>
      <c r="H23" s="32" t="s">
        <v>99</v>
      </c>
      <c r="I23" s="31" t="s">
        <v>100</v>
      </c>
      <c r="J23" s="31" t="s">
        <v>115</v>
      </c>
      <c r="K23" s="31" t="s">
        <v>132</v>
      </c>
      <c r="L23" s="31" t="s">
        <v>117</v>
      </c>
      <c r="M23" s="33" t="s">
        <v>103</v>
      </c>
    </row>
    <row r="24" customFormat="false" ht="34.5" hidden="false" customHeight="true" outlineLevel="0" collapsed="false">
      <c r="A24" s="12" t="s">
        <v>95</v>
      </c>
      <c r="B24" s="13" t="s">
        <v>37</v>
      </c>
      <c r="C24" s="30" t="s">
        <v>133</v>
      </c>
      <c r="D24" s="31" t="s">
        <v>97</v>
      </c>
      <c r="E24" s="31" t="s">
        <v>98</v>
      </c>
      <c r="F24" s="31" t="s">
        <v>77</v>
      </c>
      <c r="G24" s="31" t="s">
        <v>78</v>
      </c>
      <c r="H24" s="32" t="s">
        <v>99</v>
      </c>
      <c r="I24" s="31" t="s">
        <v>100</v>
      </c>
      <c r="J24" s="31" t="s">
        <v>73</v>
      </c>
      <c r="K24" s="31" t="s">
        <v>134</v>
      </c>
      <c r="L24" s="31" t="s">
        <v>102</v>
      </c>
      <c r="M24" s="33" t="s">
        <v>103</v>
      </c>
    </row>
    <row r="25" customFormat="false" ht="34.5" hidden="false" customHeight="true" outlineLevel="0" collapsed="false">
      <c r="A25" s="12" t="s">
        <v>95</v>
      </c>
      <c r="B25" s="13" t="s">
        <v>28</v>
      </c>
      <c r="C25" s="30" t="s">
        <v>135</v>
      </c>
      <c r="D25" s="31" t="s">
        <v>136</v>
      </c>
      <c r="E25" s="31" t="s">
        <v>98</v>
      </c>
      <c r="F25" s="31" t="s">
        <v>77</v>
      </c>
      <c r="G25" s="31" t="s">
        <v>78</v>
      </c>
      <c r="H25" s="32" t="s">
        <v>137</v>
      </c>
      <c r="I25" s="31" t="s">
        <v>138</v>
      </c>
      <c r="J25" s="31" t="s">
        <v>73</v>
      </c>
      <c r="K25" s="31" t="s">
        <v>139</v>
      </c>
      <c r="L25" s="31" t="s">
        <v>140</v>
      </c>
      <c r="M25" s="33" t="s">
        <v>103</v>
      </c>
    </row>
    <row r="26" customFormat="false" ht="34.5" hidden="false" customHeight="true" outlineLevel="0" collapsed="false">
      <c r="A26" s="12" t="s">
        <v>95</v>
      </c>
      <c r="B26" s="13" t="s">
        <v>28</v>
      </c>
      <c r="C26" s="30" t="s">
        <v>141</v>
      </c>
      <c r="D26" s="31" t="s">
        <v>136</v>
      </c>
      <c r="E26" s="31" t="s">
        <v>98</v>
      </c>
      <c r="F26" s="31" t="s">
        <v>77</v>
      </c>
      <c r="G26" s="31" t="s">
        <v>78</v>
      </c>
      <c r="H26" s="32" t="s">
        <v>137</v>
      </c>
      <c r="I26" s="31" t="s">
        <v>138</v>
      </c>
      <c r="J26" s="31" t="s">
        <v>142</v>
      </c>
      <c r="K26" s="31" t="s">
        <v>143</v>
      </c>
      <c r="L26" s="31" t="s">
        <v>144</v>
      </c>
      <c r="M26" s="33" t="s">
        <v>103</v>
      </c>
    </row>
    <row r="27" customFormat="false" ht="34.5" hidden="false" customHeight="true" outlineLevel="0" collapsed="false">
      <c r="A27" s="12" t="s">
        <v>95</v>
      </c>
      <c r="B27" s="13" t="s">
        <v>28</v>
      </c>
      <c r="C27" s="30" t="s">
        <v>145</v>
      </c>
      <c r="D27" s="31" t="s">
        <v>146</v>
      </c>
      <c r="E27" s="31" t="s">
        <v>98</v>
      </c>
      <c r="F27" s="31" t="s">
        <v>77</v>
      </c>
      <c r="G27" s="31" t="s">
        <v>78</v>
      </c>
      <c r="H27" s="32" t="s">
        <v>137</v>
      </c>
      <c r="I27" s="31" t="s">
        <v>138</v>
      </c>
      <c r="J27" s="31" t="s">
        <v>142</v>
      </c>
      <c r="K27" s="31" t="s">
        <v>116</v>
      </c>
      <c r="L27" s="31" t="s">
        <v>147</v>
      </c>
      <c r="M27" s="33" t="s">
        <v>103</v>
      </c>
    </row>
    <row r="28" customFormat="false" ht="34.5" hidden="false" customHeight="true" outlineLevel="0" collapsed="false">
      <c r="A28" s="12" t="s">
        <v>95</v>
      </c>
      <c r="B28" s="13" t="s">
        <v>28</v>
      </c>
      <c r="C28" s="30" t="s">
        <v>148</v>
      </c>
      <c r="D28" s="31" t="s">
        <v>136</v>
      </c>
      <c r="E28" s="31" t="s">
        <v>98</v>
      </c>
      <c r="F28" s="31" t="s">
        <v>77</v>
      </c>
      <c r="G28" s="31" t="s">
        <v>78</v>
      </c>
      <c r="H28" s="32" t="s">
        <v>137</v>
      </c>
      <c r="I28" s="31" t="s">
        <v>138</v>
      </c>
      <c r="J28" s="31" t="s">
        <v>142</v>
      </c>
      <c r="K28" s="31" t="s">
        <v>149</v>
      </c>
      <c r="L28" s="31" t="s">
        <v>144</v>
      </c>
      <c r="M28" s="33" t="s">
        <v>103</v>
      </c>
    </row>
    <row r="29" customFormat="false" ht="34.5" hidden="false" customHeight="true" outlineLevel="0" collapsed="false">
      <c r="A29" s="12" t="s">
        <v>95</v>
      </c>
      <c r="B29" s="13" t="s">
        <v>28</v>
      </c>
      <c r="C29" s="30" t="s">
        <v>150</v>
      </c>
      <c r="D29" s="31" t="s">
        <v>146</v>
      </c>
      <c r="E29" s="31" t="s">
        <v>98</v>
      </c>
      <c r="F29" s="31" t="s">
        <v>77</v>
      </c>
      <c r="G29" s="31" t="s">
        <v>78</v>
      </c>
      <c r="H29" s="32" t="s">
        <v>137</v>
      </c>
      <c r="I29" s="31" t="s">
        <v>138</v>
      </c>
      <c r="J29" s="31" t="s">
        <v>73</v>
      </c>
      <c r="K29" s="31" t="s">
        <v>151</v>
      </c>
      <c r="L29" s="31" t="s">
        <v>140</v>
      </c>
      <c r="M29" s="33" t="s">
        <v>103</v>
      </c>
    </row>
    <row r="30" customFormat="false" ht="34.5" hidden="false" customHeight="true" outlineLevel="0" collapsed="false">
      <c r="A30" s="12" t="s">
        <v>95</v>
      </c>
      <c r="B30" s="13" t="s">
        <v>28</v>
      </c>
      <c r="C30" s="30" t="s">
        <v>152</v>
      </c>
      <c r="D30" s="31" t="s">
        <v>136</v>
      </c>
      <c r="E30" s="31" t="s">
        <v>98</v>
      </c>
      <c r="F30" s="31" t="s">
        <v>77</v>
      </c>
      <c r="G30" s="31" t="s">
        <v>78</v>
      </c>
      <c r="H30" s="32" t="s">
        <v>137</v>
      </c>
      <c r="I30" s="31" t="s">
        <v>138</v>
      </c>
      <c r="J30" s="31" t="s">
        <v>73</v>
      </c>
      <c r="K30" s="31" t="s">
        <v>121</v>
      </c>
      <c r="L30" s="31" t="s">
        <v>140</v>
      </c>
      <c r="M30" s="33" t="s">
        <v>103</v>
      </c>
    </row>
    <row r="31" customFormat="false" ht="34.5" hidden="false" customHeight="true" outlineLevel="0" collapsed="false">
      <c r="A31" s="12" t="s">
        <v>95</v>
      </c>
      <c r="B31" s="13" t="s">
        <v>28</v>
      </c>
      <c r="C31" s="30" t="s">
        <v>153</v>
      </c>
      <c r="D31" s="31" t="s">
        <v>146</v>
      </c>
      <c r="E31" s="31" t="s">
        <v>98</v>
      </c>
      <c r="F31" s="31" t="s">
        <v>77</v>
      </c>
      <c r="G31" s="31" t="s">
        <v>78</v>
      </c>
      <c r="H31" s="32" t="s">
        <v>137</v>
      </c>
      <c r="I31" s="31" t="s">
        <v>138</v>
      </c>
      <c r="J31" s="31" t="s">
        <v>73</v>
      </c>
      <c r="K31" s="31" t="s">
        <v>154</v>
      </c>
      <c r="L31" s="31" t="s">
        <v>140</v>
      </c>
      <c r="M31" s="33" t="s">
        <v>103</v>
      </c>
    </row>
    <row r="32" customFormat="false" ht="34.5" hidden="false" customHeight="true" outlineLevel="0" collapsed="false">
      <c r="A32" s="12" t="s">
        <v>95</v>
      </c>
      <c r="B32" s="13" t="s">
        <v>28</v>
      </c>
      <c r="C32" s="30" t="s">
        <v>155</v>
      </c>
      <c r="D32" s="31" t="s">
        <v>146</v>
      </c>
      <c r="E32" s="31" t="s">
        <v>98</v>
      </c>
      <c r="F32" s="31" t="s">
        <v>77</v>
      </c>
      <c r="G32" s="31" t="s">
        <v>78</v>
      </c>
      <c r="H32" s="32" t="s">
        <v>137</v>
      </c>
      <c r="I32" s="31" t="s">
        <v>138</v>
      </c>
      <c r="J32" s="31" t="s">
        <v>142</v>
      </c>
      <c r="K32" s="31" t="s">
        <v>132</v>
      </c>
      <c r="L32" s="31" t="s">
        <v>147</v>
      </c>
      <c r="M32" s="33" t="s">
        <v>103</v>
      </c>
    </row>
    <row r="33" customFormat="false" ht="34.5" hidden="false" customHeight="true" outlineLevel="0" collapsed="false">
      <c r="A33" s="12" t="s">
        <v>95</v>
      </c>
      <c r="B33" s="13" t="s">
        <v>26</v>
      </c>
      <c r="C33" s="30" t="s">
        <v>156</v>
      </c>
      <c r="D33" s="31" t="s">
        <v>157</v>
      </c>
      <c r="E33" s="31" t="s">
        <v>98</v>
      </c>
      <c r="F33" s="31" t="s">
        <v>77</v>
      </c>
      <c r="G33" s="31" t="s">
        <v>78</v>
      </c>
      <c r="H33" s="32" t="s">
        <v>158</v>
      </c>
      <c r="I33" s="31" t="s">
        <v>159</v>
      </c>
      <c r="J33" s="31" t="s">
        <v>73</v>
      </c>
      <c r="K33" s="31" t="s">
        <v>90</v>
      </c>
      <c r="L33" s="31" t="s">
        <v>160</v>
      </c>
      <c r="M33" s="33" t="s">
        <v>103</v>
      </c>
    </row>
    <row r="34" customFormat="false" ht="34.5" hidden="false" customHeight="true" outlineLevel="0" collapsed="false">
      <c r="A34" s="12" t="s">
        <v>95</v>
      </c>
      <c r="B34" s="13" t="s">
        <v>26</v>
      </c>
      <c r="C34" s="30" t="s">
        <v>161</v>
      </c>
      <c r="D34" s="31" t="s">
        <v>162</v>
      </c>
      <c r="E34" s="31" t="s">
        <v>98</v>
      </c>
      <c r="F34" s="31" t="s">
        <v>77</v>
      </c>
      <c r="G34" s="31" t="s">
        <v>78</v>
      </c>
      <c r="H34" s="32" t="s">
        <v>158</v>
      </c>
      <c r="I34" s="31" t="s">
        <v>159</v>
      </c>
      <c r="J34" s="31" t="s">
        <v>142</v>
      </c>
      <c r="K34" s="31" t="s">
        <v>163</v>
      </c>
      <c r="L34" s="31" t="s">
        <v>164</v>
      </c>
      <c r="M34" s="33" t="s">
        <v>103</v>
      </c>
    </row>
    <row r="35" customFormat="false" ht="34.5" hidden="false" customHeight="true" outlineLevel="0" collapsed="false">
      <c r="A35" s="12" t="s">
        <v>95</v>
      </c>
      <c r="B35" s="13" t="s">
        <v>26</v>
      </c>
      <c r="C35" s="30" t="s">
        <v>165</v>
      </c>
      <c r="D35" s="31" t="s">
        <v>157</v>
      </c>
      <c r="E35" s="31" t="s">
        <v>98</v>
      </c>
      <c r="F35" s="31" t="s">
        <v>77</v>
      </c>
      <c r="G35" s="31" t="s">
        <v>78</v>
      </c>
      <c r="H35" s="32" t="s">
        <v>158</v>
      </c>
      <c r="I35" s="31" t="s">
        <v>159</v>
      </c>
      <c r="J35" s="31" t="s">
        <v>73</v>
      </c>
      <c r="K35" s="31" t="s">
        <v>166</v>
      </c>
      <c r="L35" s="31" t="s">
        <v>160</v>
      </c>
      <c r="M35" s="33" t="s">
        <v>103</v>
      </c>
    </row>
    <row r="36" customFormat="false" ht="34.5" hidden="false" customHeight="true" outlineLevel="0" collapsed="false">
      <c r="A36" s="12" t="s">
        <v>95</v>
      </c>
      <c r="B36" s="13" t="s">
        <v>26</v>
      </c>
      <c r="C36" s="30" t="s">
        <v>167</v>
      </c>
      <c r="D36" s="31" t="s">
        <v>157</v>
      </c>
      <c r="E36" s="31" t="s">
        <v>98</v>
      </c>
      <c r="F36" s="31" t="s">
        <v>77</v>
      </c>
      <c r="G36" s="31" t="s">
        <v>78</v>
      </c>
      <c r="H36" s="32" t="s">
        <v>158</v>
      </c>
      <c r="I36" s="31" t="s">
        <v>159</v>
      </c>
      <c r="J36" s="31" t="s">
        <v>73</v>
      </c>
      <c r="K36" s="31" t="s">
        <v>168</v>
      </c>
      <c r="L36" s="31" t="s">
        <v>160</v>
      </c>
      <c r="M36" s="33" t="s">
        <v>103</v>
      </c>
    </row>
    <row r="37" customFormat="false" ht="34.5" hidden="false" customHeight="true" outlineLevel="0" collapsed="false">
      <c r="A37" s="12" t="s">
        <v>95</v>
      </c>
      <c r="B37" s="13" t="s">
        <v>26</v>
      </c>
      <c r="C37" s="30" t="s">
        <v>169</v>
      </c>
      <c r="D37" s="31" t="s">
        <v>157</v>
      </c>
      <c r="E37" s="31" t="s">
        <v>98</v>
      </c>
      <c r="F37" s="31" t="s">
        <v>77</v>
      </c>
      <c r="G37" s="31" t="s">
        <v>78</v>
      </c>
      <c r="H37" s="32" t="s">
        <v>158</v>
      </c>
      <c r="I37" s="31" t="s">
        <v>159</v>
      </c>
      <c r="J37" s="31" t="s">
        <v>73</v>
      </c>
      <c r="K37" s="31" t="s">
        <v>170</v>
      </c>
      <c r="L37" s="31" t="s">
        <v>160</v>
      </c>
      <c r="M37" s="33" t="s">
        <v>103</v>
      </c>
    </row>
    <row r="38" customFormat="false" ht="34.5" hidden="false" customHeight="true" outlineLevel="0" collapsed="false">
      <c r="A38" s="12" t="s">
        <v>95</v>
      </c>
      <c r="B38" s="13" t="s">
        <v>26</v>
      </c>
      <c r="C38" s="30" t="s">
        <v>171</v>
      </c>
      <c r="D38" s="31" t="s">
        <v>162</v>
      </c>
      <c r="E38" s="31" t="s">
        <v>98</v>
      </c>
      <c r="F38" s="31" t="s">
        <v>77</v>
      </c>
      <c r="G38" s="31" t="s">
        <v>78</v>
      </c>
      <c r="H38" s="32" t="s">
        <v>158</v>
      </c>
      <c r="I38" s="31" t="s">
        <v>159</v>
      </c>
      <c r="J38" s="31" t="s">
        <v>142</v>
      </c>
      <c r="K38" s="31" t="s">
        <v>172</v>
      </c>
      <c r="L38" s="31" t="s">
        <v>164</v>
      </c>
      <c r="M38" s="33" t="s">
        <v>103</v>
      </c>
    </row>
    <row r="39" customFormat="false" ht="34.5" hidden="false" customHeight="true" outlineLevel="0" collapsed="false">
      <c r="A39" s="12" t="s">
        <v>95</v>
      </c>
      <c r="B39" s="13" t="s">
        <v>26</v>
      </c>
      <c r="C39" s="30" t="s">
        <v>173</v>
      </c>
      <c r="D39" s="31" t="s">
        <v>162</v>
      </c>
      <c r="E39" s="31" t="s">
        <v>98</v>
      </c>
      <c r="F39" s="31" t="s">
        <v>77</v>
      </c>
      <c r="G39" s="31" t="s">
        <v>78</v>
      </c>
      <c r="H39" s="32" t="s">
        <v>158</v>
      </c>
      <c r="I39" s="31" t="s">
        <v>159</v>
      </c>
      <c r="J39" s="31" t="s">
        <v>174</v>
      </c>
      <c r="K39" s="31" t="s">
        <v>175</v>
      </c>
      <c r="L39" s="31" t="s">
        <v>176</v>
      </c>
      <c r="M39" s="33" t="s">
        <v>103</v>
      </c>
    </row>
    <row r="40" customFormat="false" ht="34.5" hidden="false" customHeight="true" outlineLevel="0" collapsed="false">
      <c r="A40" s="12" t="s">
        <v>95</v>
      </c>
      <c r="B40" s="13" t="s">
        <v>26</v>
      </c>
      <c r="C40" s="34" t="s">
        <v>177</v>
      </c>
      <c r="D40" s="35" t="s">
        <v>157</v>
      </c>
      <c r="E40" s="35" t="s">
        <v>98</v>
      </c>
      <c r="F40" s="35" t="s">
        <v>77</v>
      </c>
      <c r="G40" s="35" t="s">
        <v>78</v>
      </c>
      <c r="H40" s="36" t="s">
        <v>158</v>
      </c>
      <c r="I40" s="35" t="s">
        <v>159</v>
      </c>
      <c r="J40" s="35" t="s">
        <v>73</v>
      </c>
      <c r="K40" s="35" t="s">
        <v>74</v>
      </c>
      <c r="L40" s="35" t="s">
        <v>160</v>
      </c>
      <c r="M40" s="37" t="s">
        <v>103</v>
      </c>
    </row>
    <row r="43" customFormat="false" ht="13.5" hidden="false" customHeight="true" outlineLevel="0" collapsed="false">
      <c r="A43" s="7" t="s">
        <v>45</v>
      </c>
      <c r="B43" s="8" t="s">
        <v>1</v>
      </c>
      <c r="C43" s="18" t="s">
        <v>47</v>
      </c>
      <c r="D43" s="19" t="s">
        <v>91</v>
      </c>
      <c r="E43" s="19" t="s">
        <v>92</v>
      </c>
      <c r="F43" s="19" t="s">
        <v>57</v>
      </c>
      <c r="G43" s="19" t="s">
        <v>58</v>
      </c>
      <c r="H43" s="20" t="s">
        <v>51</v>
      </c>
      <c r="I43" s="19" t="s">
        <v>52</v>
      </c>
      <c r="J43" s="19" t="s">
        <v>53</v>
      </c>
      <c r="K43" s="19" t="s">
        <v>54</v>
      </c>
      <c r="L43" s="19" t="s">
        <v>93</v>
      </c>
      <c r="M43" s="21" t="s">
        <v>94</v>
      </c>
    </row>
    <row r="44" customFormat="false" ht="34.5" hidden="false" customHeight="true" outlineLevel="0" collapsed="false">
      <c r="A44" s="12" t="s">
        <v>178</v>
      </c>
      <c r="B44" s="13" t="s">
        <v>30</v>
      </c>
      <c r="C44" s="22" t="s">
        <v>179</v>
      </c>
      <c r="D44" s="23" t="s">
        <v>180</v>
      </c>
      <c r="E44" s="23" t="s">
        <v>181</v>
      </c>
      <c r="F44" s="23" t="s">
        <v>77</v>
      </c>
      <c r="G44" s="23" t="s">
        <v>78</v>
      </c>
      <c r="H44" s="24" t="s">
        <v>182</v>
      </c>
      <c r="I44" s="23" t="s">
        <v>183</v>
      </c>
      <c r="J44" s="23" t="s">
        <v>107</v>
      </c>
      <c r="K44" s="23" t="s">
        <v>184</v>
      </c>
      <c r="L44" s="23" t="s">
        <v>185</v>
      </c>
      <c r="M44" s="25" t="s">
        <v>103</v>
      </c>
    </row>
    <row r="45" customFormat="false" ht="34.5" hidden="false" customHeight="true" outlineLevel="0" collapsed="false">
      <c r="A45" s="12" t="s">
        <v>178</v>
      </c>
      <c r="B45" s="13" t="s">
        <v>30</v>
      </c>
      <c r="C45" s="22" t="s">
        <v>186</v>
      </c>
      <c r="D45" s="23" t="s">
        <v>180</v>
      </c>
      <c r="E45" s="23" t="s">
        <v>181</v>
      </c>
      <c r="F45" s="23" t="s">
        <v>77</v>
      </c>
      <c r="G45" s="23" t="s">
        <v>78</v>
      </c>
      <c r="H45" s="24" t="s">
        <v>182</v>
      </c>
      <c r="I45" s="23" t="s">
        <v>183</v>
      </c>
      <c r="J45" s="23" t="s">
        <v>115</v>
      </c>
      <c r="K45" s="23" t="s">
        <v>187</v>
      </c>
      <c r="L45" s="23" t="s">
        <v>188</v>
      </c>
      <c r="M45" s="25" t="s">
        <v>103</v>
      </c>
    </row>
    <row r="46" customFormat="false" ht="34.5" hidden="false" customHeight="true" outlineLevel="0" collapsed="false">
      <c r="A46" s="12" t="s">
        <v>178</v>
      </c>
      <c r="B46" s="13" t="s">
        <v>30</v>
      </c>
      <c r="C46" s="22" t="s">
        <v>189</v>
      </c>
      <c r="D46" s="23" t="s">
        <v>180</v>
      </c>
      <c r="E46" s="23" t="s">
        <v>181</v>
      </c>
      <c r="F46" s="23" t="s">
        <v>77</v>
      </c>
      <c r="G46" s="23" t="s">
        <v>78</v>
      </c>
      <c r="H46" s="24" t="s">
        <v>182</v>
      </c>
      <c r="I46" s="23" t="s">
        <v>183</v>
      </c>
      <c r="J46" s="23" t="s">
        <v>115</v>
      </c>
      <c r="K46" s="23" t="s">
        <v>190</v>
      </c>
      <c r="L46" s="23" t="s">
        <v>188</v>
      </c>
      <c r="M46" s="25" t="s">
        <v>103</v>
      </c>
    </row>
    <row r="47" customFormat="false" ht="34.5" hidden="false" customHeight="true" outlineLevel="0" collapsed="false">
      <c r="A47" s="12" t="s">
        <v>178</v>
      </c>
      <c r="B47" s="13" t="s">
        <v>30</v>
      </c>
      <c r="C47" s="22" t="s">
        <v>191</v>
      </c>
      <c r="D47" s="23" t="s">
        <v>180</v>
      </c>
      <c r="E47" s="23" t="s">
        <v>181</v>
      </c>
      <c r="F47" s="23" t="s">
        <v>77</v>
      </c>
      <c r="G47" s="23" t="s">
        <v>78</v>
      </c>
      <c r="H47" s="24" t="s">
        <v>182</v>
      </c>
      <c r="I47" s="23" t="s">
        <v>183</v>
      </c>
      <c r="J47" s="23" t="s">
        <v>115</v>
      </c>
      <c r="K47" s="23" t="s">
        <v>192</v>
      </c>
      <c r="L47" s="23" t="s">
        <v>188</v>
      </c>
      <c r="M47" s="25" t="s">
        <v>103</v>
      </c>
    </row>
    <row r="48" customFormat="false" ht="34.5" hidden="false" customHeight="true" outlineLevel="0" collapsed="false">
      <c r="A48" s="12" t="s">
        <v>178</v>
      </c>
      <c r="B48" s="13" t="s">
        <v>30</v>
      </c>
      <c r="C48" s="22" t="s">
        <v>193</v>
      </c>
      <c r="D48" s="23" t="s">
        <v>180</v>
      </c>
      <c r="E48" s="23" t="s">
        <v>181</v>
      </c>
      <c r="F48" s="23" t="s">
        <v>77</v>
      </c>
      <c r="G48" s="23" t="s">
        <v>78</v>
      </c>
      <c r="H48" s="24" t="s">
        <v>182</v>
      </c>
      <c r="I48" s="23" t="s">
        <v>183</v>
      </c>
      <c r="J48" s="23" t="s">
        <v>73</v>
      </c>
      <c r="K48" s="23" t="s">
        <v>194</v>
      </c>
      <c r="L48" s="23" t="s">
        <v>195</v>
      </c>
      <c r="M48" s="25" t="s">
        <v>103</v>
      </c>
    </row>
    <row r="49" customFormat="false" ht="34.5" hidden="false" customHeight="true" outlineLevel="0" collapsed="false">
      <c r="A49" s="12" t="s">
        <v>178</v>
      </c>
      <c r="B49" s="13" t="s">
        <v>30</v>
      </c>
      <c r="C49" s="22" t="s">
        <v>196</v>
      </c>
      <c r="D49" s="23" t="s">
        <v>180</v>
      </c>
      <c r="E49" s="23" t="s">
        <v>181</v>
      </c>
      <c r="F49" s="23" t="s">
        <v>77</v>
      </c>
      <c r="G49" s="23" t="s">
        <v>78</v>
      </c>
      <c r="H49" s="24" t="s">
        <v>182</v>
      </c>
      <c r="I49" s="23" t="s">
        <v>183</v>
      </c>
      <c r="J49" s="23" t="s">
        <v>73</v>
      </c>
      <c r="K49" s="23" t="s">
        <v>197</v>
      </c>
      <c r="L49" s="23" t="s">
        <v>195</v>
      </c>
      <c r="M49" s="25" t="s">
        <v>103</v>
      </c>
    </row>
    <row r="50" customFormat="false" ht="34.5" hidden="false" customHeight="true" outlineLevel="0" collapsed="false">
      <c r="A50" s="12" t="s">
        <v>178</v>
      </c>
      <c r="B50" s="13" t="s">
        <v>30</v>
      </c>
      <c r="C50" s="22" t="s">
        <v>198</v>
      </c>
      <c r="D50" s="23" t="s">
        <v>180</v>
      </c>
      <c r="E50" s="23" t="s">
        <v>181</v>
      </c>
      <c r="F50" s="23" t="s">
        <v>77</v>
      </c>
      <c r="G50" s="23" t="s">
        <v>78</v>
      </c>
      <c r="H50" s="24" t="s">
        <v>182</v>
      </c>
      <c r="I50" s="23" t="s">
        <v>183</v>
      </c>
      <c r="J50" s="23" t="s">
        <v>73</v>
      </c>
      <c r="K50" s="23" t="s">
        <v>199</v>
      </c>
      <c r="L50" s="23" t="s">
        <v>195</v>
      </c>
      <c r="M50" s="25" t="s">
        <v>103</v>
      </c>
    </row>
    <row r="51" customFormat="false" ht="34.5" hidden="false" customHeight="true" outlineLevel="0" collapsed="false">
      <c r="A51" s="12" t="s">
        <v>178</v>
      </c>
      <c r="B51" s="13" t="s">
        <v>30</v>
      </c>
      <c r="C51" s="22" t="s">
        <v>200</v>
      </c>
      <c r="D51" s="23" t="s">
        <v>180</v>
      </c>
      <c r="E51" s="23" t="s">
        <v>181</v>
      </c>
      <c r="F51" s="23" t="s">
        <v>77</v>
      </c>
      <c r="G51" s="23" t="s">
        <v>78</v>
      </c>
      <c r="H51" s="24" t="s">
        <v>182</v>
      </c>
      <c r="I51" s="23" t="s">
        <v>183</v>
      </c>
      <c r="J51" s="23" t="s">
        <v>73</v>
      </c>
      <c r="K51" s="23" t="s">
        <v>201</v>
      </c>
      <c r="L51" s="23" t="s">
        <v>195</v>
      </c>
      <c r="M51" s="25" t="s">
        <v>103</v>
      </c>
    </row>
    <row r="52" customFormat="false" ht="34.5" hidden="false" customHeight="true" outlineLevel="0" collapsed="false">
      <c r="A52" s="12" t="s">
        <v>178</v>
      </c>
      <c r="B52" s="13" t="s">
        <v>30</v>
      </c>
      <c r="C52" s="22" t="s">
        <v>202</v>
      </c>
      <c r="D52" s="23" t="s">
        <v>180</v>
      </c>
      <c r="E52" s="23" t="s">
        <v>181</v>
      </c>
      <c r="F52" s="23" t="s">
        <v>77</v>
      </c>
      <c r="G52" s="23" t="s">
        <v>78</v>
      </c>
      <c r="H52" s="24" t="s">
        <v>182</v>
      </c>
      <c r="I52" s="23" t="s">
        <v>183</v>
      </c>
      <c r="J52" s="23" t="s">
        <v>73</v>
      </c>
      <c r="K52" s="23" t="s">
        <v>203</v>
      </c>
      <c r="L52" s="23" t="s">
        <v>195</v>
      </c>
      <c r="M52" s="25" t="s">
        <v>103</v>
      </c>
    </row>
    <row r="53" customFormat="false" ht="34.5" hidden="false" customHeight="true" outlineLevel="0" collapsed="false">
      <c r="A53" s="12" t="s">
        <v>178</v>
      </c>
      <c r="B53" s="13" t="s">
        <v>30</v>
      </c>
      <c r="C53" s="22" t="s">
        <v>204</v>
      </c>
      <c r="D53" s="23" t="s">
        <v>180</v>
      </c>
      <c r="E53" s="23" t="s">
        <v>181</v>
      </c>
      <c r="F53" s="23" t="s">
        <v>77</v>
      </c>
      <c r="G53" s="23" t="s">
        <v>78</v>
      </c>
      <c r="H53" s="24" t="s">
        <v>182</v>
      </c>
      <c r="I53" s="23" t="s">
        <v>183</v>
      </c>
      <c r="J53" s="23" t="s">
        <v>73</v>
      </c>
      <c r="K53" s="23" t="s">
        <v>205</v>
      </c>
      <c r="L53" s="23" t="s">
        <v>195</v>
      </c>
      <c r="M53" s="25" t="s">
        <v>103</v>
      </c>
    </row>
    <row r="54" customFormat="false" ht="34.5" hidden="false" customHeight="true" outlineLevel="0" collapsed="false">
      <c r="A54" s="12" t="s">
        <v>178</v>
      </c>
      <c r="B54" s="13" t="s">
        <v>30</v>
      </c>
      <c r="C54" s="22" t="s">
        <v>206</v>
      </c>
      <c r="D54" s="23" t="s">
        <v>180</v>
      </c>
      <c r="E54" s="23" t="s">
        <v>181</v>
      </c>
      <c r="F54" s="23" t="s">
        <v>77</v>
      </c>
      <c r="G54" s="23" t="s">
        <v>78</v>
      </c>
      <c r="H54" s="24" t="s">
        <v>182</v>
      </c>
      <c r="I54" s="23" t="s">
        <v>183</v>
      </c>
      <c r="J54" s="23" t="s">
        <v>73</v>
      </c>
      <c r="K54" s="23" t="s">
        <v>207</v>
      </c>
      <c r="L54" s="23" t="s">
        <v>195</v>
      </c>
      <c r="M54" s="25" t="s">
        <v>103</v>
      </c>
    </row>
    <row r="55" customFormat="false" ht="34.5" hidden="false" customHeight="true" outlineLevel="0" collapsed="false">
      <c r="A55" s="12" t="s">
        <v>178</v>
      </c>
      <c r="B55" s="13" t="s">
        <v>30</v>
      </c>
      <c r="C55" s="22" t="s">
        <v>208</v>
      </c>
      <c r="D55" s="23" t="s">
        <v>180</v>
      </c>
      <c r="E55" s="23" t="s">
        <v>181</v>
      </c>
      <c r="F55" s="23" t="s">
        <v>77</v>
      </c>
      <c r="G55" s="23" t="s">
        <v>78</v>
      </c>
      <c r="H55" s="24" t="s">
        <v>182</v>
      </c>
      <c r="I55" s="23" t="s">
        <v>183</v>
      </c>
      <c r="J55" s="23" t="s">
        <v>73</v>
      </c>
      <c r="K55" s="23" t="s">
        <v>209</v>
      </c>
      <c r="L55" s="23" t="s">
        <v>195</v>
      </c>
      <c r="M55" s="25" t="s">
        <v>103</v>
      </c>
    </row>
    <row r="56" customFormat="false" ht="34.5" hidden="false" customHeight="true" outlineLevel="0" collapsed="false">
      <c r="A56" s="12" t="s">
        <v>178</v>
      </c>
      <c r="B56" s="13" t="s">
        <v>30</v>
      </c>
      <c r="C56" s="22" t="s">
        <v>210</v>
      </c>
      <c r="D56" s="23" t="s">
        <v>180</v>
      </c>
      <c r="E56" s="23" t="s">
        <v>181</v>
      </c>
      <c r="F56" s="23" t="s">
        <v>77</v>
      </c>
      <c r="G56" s="23" t="s">
        <v>78</v>
      </c>
      <c r="H56" s="24" t="s">
        <v>182</v>
      </c>
      <c r="I56" s="23" t="s">
        <v>183</v>
      </c>
      <c r="J56" s="23" t="s">
        <v>73</v>
      </c>
      <c r="K56" s="23" t="s">
        <v>211</v>
      </c>
      <c r="L56" s="23" t="s">
        <v>195</v>
      </c>
      <c r="M56" s="25" t="s">
        <v>103</v>
      </c>
    </row>
    <row r="57" customFormat="false" ht="34.5" hidden="false" customHeight="true" outlineLevel="0" collapsed="false">
      <c r="A57" s="12" t="s">
        <v>178</v>
      </c>
      <c r="B57" s="13" t="s">
        <v>30</v>
      </c>
      <c r="C57" s="22" t="s">
        <v>212</v>
      </c>
      <c r="D57" s="23" t="s">
        <v>180</v>
      </c>
      <c r="E57" s="23" t="s">
        <v>181</v>
      </c>
      <c r="F57" s="23" t="s">
        <v>77</v>
      </c>
      <c r="G57" s="23" t="s">
        <v>78</v>
      </c>
      <c r="H57" s="24" t="s">
        <v>182</v>
      </c>
      <c r="I57" s="23" t="s">
        <v>183</v>
      </c>
      <c r="J57" s="23" t="s">
        <v>73</v>
      </c>
      <c r="K57" s="23" t="s">
        <v>213</v>
      </c>
      <c r="L57" s="23" t="s">
        <v>195</v>
      </c>
      <c r="M57" s="25" t="s">
        <v>103</v>
      </c>
    </row>
    <row r="58" customFormat="false" ht="34.5" hidden="false" customHeight="true" outlineLevel="0" collapsed="false">
      <c r="A58" s="12" t="s">
        <v>178</v>
      </c>
      <c r="B58" s="13" t="s">
        <v>30</v>
      </c>
      <c r="C58" s="22" t="s">
        <v>214</v>
      </c>
      <c r="D58" s="23" t="s">
        <v>180</v>
      </c>
      <c r="E58" s="23" t="s">
        <v>181</v>
      </c>
      <c r="F58" s="23" t="s">
        <v>77</v>
      </c>
      <c r="G58" s="23" t="s">
        <v>78</v>
      </c>
      <c r="H58" s="24" t="s">
        <v>182</v>
      </c>
      <c r="I58" s="23" t="s">
        <v>183</v>
      </c>
      <c r="J58" s="23" t="s">
        <v>73</v>
      </c>
      <c r="K58" s="23" t="s">
        <v>215</v>
      </c>
      <c r="L58" s="23" t="s">
        <v>195</v>
      </c>
      <c r="M58" s="25" t="s">
        <v>103</v>
      </c>
    </row>
    <row r="59" customFormat="false" ht="34.5" hidden="false" customHeight="true" outlineLevel="0" collapsed="false">
      <c r="A59" s="12" t="s">
        <v>178</v>
      </c>
      <c r="B59" s="13" t="s">
        <v>30</v>
      </c>
      <c r="C59" s="22" t="s">
        <v>216</v>
      </c>
      <c r="D59" s="23" t="s">
        <v>180</v>
      </c>
      <c r="E59" s="23" t="s">
        <v>181</v>
      </c>
      <c r="F59" s="23" t="s">
        <v>77</v>
      </c>
      <c r="G59" s="23" t="s">
        <v>78</v>
      </c>
      <c r="H59" s="24" t="s">
        <v>182</v>
      </c>
      <c r="I59" s="23" t="s">
        <v>183</v>
      </c>
      <c r="J59" s="23" t="s">
        <v>107</v>
      </c>
      <c r="K59" s="23" t="s">
        <v>108</v>
      </c>
      <c r="L59" s="23" t="s">
        <v>217</v>
      </c>
      <c r="M59" s="25" t="s">
        <v>103</v>
      </c>
    </row>
    <row r="60" customFormat="false" ht="34.5" hidden="false" customHeight="true" outlineLevel="0" collapsed="false">
      <c r="A60" s="12" t="s">
        <v>178</v>
      </c>
      <c r="B60" s="13" t="s">
        <v>30</v>
      </c>
      <c r="C60" s="22" t="s">
        <v>218</v>
      </c>
      <c r="D60" s="23" t="s">
        <v>180</v>
      </c>
      <c r="E60" s="23" t="s">
        <v>181</v>
      </c>
      <c r="F60" s="23" t="s">
        <v>77</v>
      </c>
      <c r="G60" s="23" t="s">
        <v>78</v>
      </c>
      <c r="H60" s="24" t="s">
        <v>182</v>
      </c>
      <c r="I60" s="23" t="s">
        <v>183</v>
      </c>
      <c r="J60" s="23" t="s">
        <v>115</v>
      </c>
      <c r="K60" s="23" t="s">
        <v>219</v>
      </c>
      <c r="L60" s="23" t="s">
        <v>220</v>
      </c>
      <c r="M60" s="25" t="s">
        <v>103</v>
      </c>
    </row>
    <row r="61" customFormat="false" ht="34.5" hidden="false" customHeight="true" outlineLevel="0" collapsed="false">
      <c r="A61" s="12" t="s">
        <v>178</v>
      </c>
      <c r="B61" s="13" t="s">
        <v>30</v>
      </c>
      <c r="C61" s="22" t="s">
        <v>221</v>
      </c>
      <c r="D61" s="23" t="s">
        <v>180</v>
      </c>
      <c r="E61" s="23" t="s">
        <v>181</v>
      </c>
      <c r="F61" s="23" t="s">
        <v>77</v>
      </c>
      <c r="G61" s="23" t="s">
        <v>78</v>
      </c>
      <c r="H61" s="24" t="s">
        <v>182</v>
      </c>
      <c r="I61" s="23" t="s">
        <v>183</v>
      </c>
      <c r="J61" s="23" t="s">
        <v>115</v>
      </c>
      <c r="K61" s="23" t="s">
        <v>116</v>
      </c>
      <c r="L61" s="23" t="s">
        <v>220</v>
      </c>
      <c r="M61" s="25" t="s">
        <v>103</v>
      </c>
    </row>
    <row r="62" customFormat="false" ht="34.5" hidden="false" customHeight="true" outlineLevel="0" collapsed="false">
      <c r="A62" s="12" t="s">
        <v>178</v>
      </c>
      <c r="B62" s="13" t="s">
        <v>30</v>
      </c>
      <c r="C62" s="22" t="s">
        <v>222</v>
      </c>
      <c r="D62" s="23" t="s">
        <v>180</v>
      </c>
      <c r="E62" s="23" t="s">
        <v>181</v>
      </c>
      <c r="F62" s="23" t="s">
        <v>77</v>
      </c>
      <c r="G62" s="23" t="s">
        <v>78</v>
      </c>
      <c r="H62" s="24" t="s">
        <v>182</v>
      </c>
      <c r="I62" s="23" t="s">
        <v>183</v>
      </c>
      <c r="J62" s="23" t="s">
        <v>115</v>
      </c>
      <c r="K62" s="23" t="s">
        <v>132</v>
      </c>
      <c r="L62" s="23" t="s">
        <v>220</v>
      </c>
      <c r="M62" s="25" t="s">
        <v>103</v>
      </c>
    </row>
    <row r="63" customFormat="false" ht="34.5" hidden="false" customHeight="true" outlineLevel="0" collapsed="false">
      <c r="A63" s="12" t="s">
        <v>178</v>
      </c>
      <c r="B63" s="13" t="s">
        <v>30</v>
      </c>
      <c r="C63" s="22" t="s">
        <v>223</v>
      </c>
      <c r="D63" s="23" t="s">
        <v>180</v>
      </c>
      <c r="E63" s="23" t="s">
        <v>181</v>
      </c>
      <c r="F63" s="23" t="s">
        <v>77</v>
      </c>
      <c r="G63" s="23" t="s">
        <v>78</v>
      </c>
      <c r="H63" s="24" t="s">
        <v>182</v>
      </c>
      <c r="I63" s="23" t="s">
        <v>183</v>
      </c>
      <c r="J63" s="23" t="s">
        <v>73</v>
      </c>
      <c r="K63" s="23" t="s">
        <v>224</v>
      </c>
      <c r="L63" s="23" t="s">
        <v>225</v>
      </c>
      <c r="M63" s="25" t="s">
        <v>103</v>
      </c>
    </row>
    <row r="64" customFormat="false" ht="34.5" hidden="false" customHeight="true" outlineLevel="0" collapsed="false">
      <c r="A64" s="12" t="s">
        <v>178</v>
      </c>
      <c r="B64" s="13" t="s">
        <v>30</v>
      </c>
      <c r="C64" s="22" t="s">
        <v>226</v>
      </c>
      <c r="D64" s="23" t="s">
        <v>180</v>
      </c>
      <c r="E64" s="23" t="s">
        <v>181</v>
      </c>
      <c r="F64" s="23" t="s">
        <v>77</v>
      </c>
      <c r="G64" s="23" t="s">
        <v>78</v>
      </c>
      <c r="H64" s="24" t="s">
        <v>182</v>
      </c>
      <c r="I64" s="23" t="s">
        <v>183</v>
      </c>
      <c r="J64" s="23" t="s">
        <v>73</v>
      </c>
      <c r="K64" s="23" t="s">
        <v>111</v>
      </c>
      <c r="L64" s="23" t="s">
        <v>225</v>
      </c>
      <c r="M64" s="25" t="s">
        <v>103</v>
      </c>
    </row>
    <row r="65" customFormat="false" ht="34.5" hidden="false" customHeight="true" outlineLevel="0" collapsed="false">
      <c r="A65" s="12" t="s">
        <v>178</v>
      </c>
      <c r="B65" s="13" t="s">
        <v>30</v>
      </c>
      <c r="C65" s="22" t="s">
        <v>227</v>
      </c>
      <c r="D65" s="23" t="s">
        <v>180</v>
      </c>
      <c r="E65" s="23" t="s">
        <v>181</v>
      </c>
      <c r="F65" s="23" t="s">
        <v>77</v>
      </c>
      <c r="G65" s="23" t="s">
        <v>78</v>
      </c>
      <c r="H65" s="24" t="s">
        <v>182</v>
      </c>
      <c r="I65" s="23" t="s">
        <v>183</v>
      </c>
      <c r="J65" s="23" t="s">
        <v>73</v>
      </c>
      <c r="K65" s="23" t="s">
        <v>124</v>
      </c>
      <c r="L65" s="23" t="s">
        <v>225</v>
      </c>
      <c r="M65" s="25" t="s">
        <v>103</v>
      </c>
    </row>
    <row r="66" customFormat="false" ht="34.5" hidden="false" customHeight="true" outlineLevel="0" collapsed="false">
      <c r="A66" s="12" t="s">
        <v>178</v>
      </c>
      <c r="B66" s="13" t="s">
        <v>30</v>
      </c>
      <c r="C66" s="22" t="s">
        <v>228</v>
      </c>
      <c r="D66" s="23" t="s">
        <v>180</v>
      </c>
      <c r="E66" s="23" t="s">
        <v>181</v>
      </c>
      <c r="F66" s="23" t="s">
        <v>77</v>
      </c>
      <c r="G66" s="23" t="s">
        <v>78</v>
      </c>
      <c r="H66" s="24" t="s">
        <v>182</v>
      </c>
      <c r="I66" s="23" t="s">
        <v>183</v>
      </c>
      <c r="J66" s="23" t="s">
        <v>73</v>
      </c>
      <c r="K66" s="23" t="s">
        <v>101</v>
      </c>
      <c r="L66" s="23" t="s">
        <v>225</v>
      </c>
      <c r="M66" s="25" t="s">
        <v>103</v>
      </c>
    </row>
    <row r="67" customFormat="false" ht="34.5" hidden="false" customHeight="true" outlineLevel="0" collapsed="false">
      <c r="A67" s="12" t="s">
        <v>178</v>
      </c>
      <c r="B67" s="13" t="s">
        <v>30</v>
      </c>
      <c r="C67" s="22" t="s">
        <v>229</v>
      </c>
      <c r="D67" s="23" t="s">
        <v>180</v>
      </c>
      <c r="E67" s="23" t="s">
        <v>181</v>
      </c>
      <c r="F67" s="23" t="s">
        <v>77</v>
      </c>
      <c r="G67" s="23" t="s">
        <v>78</v>
      </c>
      <c r="H67" s="24" t="s">
        <v>182</v>
      </c>
      <c r="I67" s="23" t="s">
        <v>183</v>
      </c>
      <c r="J67" s="23" t="s">
        <v>73</v>
      </c>
      <c r="K67" s="23" t="s">
        <v>119</v>
      </c>
      <c r="L67" s="23" t="s">
        <v>225</v>
      </c>
      <c r="M67" s="25" t="s">
        <v>103</v>
      </c>
    </row>
    <row r="68" customFormat="false" ht="34.5" hidden="false" customHeight="true" outlineLevel="0" collapsed="false">
      <c r="A68" s="12" t="s">
        <v>178</v>
      </c>
      <c r="B68" s="13" t="s">
        <v>30</v>
      </c>
      <c r="C68" s="22" t="s">
        <v>230</v>
      </c>
      <c r="D68" s="23" t="s">
        <v>180</v>
      </c>
      <c r="E68" s="23" t="s">
        <v>181</v>
      </c>
      <c r="F68" s="23" t="s">
        <v>77</v>
      </c>
      <c r="G68" s="23" t="s">
        <v>78</v>
      </c>
      <c r="H68" s="24" t="s">
        <v>182</v>
      </c>
      <c r="I68" s="23" t="s">
        <v>183</v>
      </c>
      <c r="J68" s="23" t="s">
        <v>73</v>
      </c>
      <c r="K68" s="23" t="s">
        <v>105</v>
      </c>
      <c r="L68" s="23" t="s">
        <v>225</v>
      </c>
      <c r="M68" s="25" t="s">
        <v>103</v>
      </c>
    </row>
    <row r="69" customFormat="false" ht="34.5" hidden="false" customHeight="true" outlineLevel="0" collapsed="false">
      <c r="A69" s="12" t="s">
        <v>178</v>
      </c>
      <c r="B69" s="13" t="s">
        <v>30</v>
      </c>
      <c r="C69" s="22" t="s">
        <v>231</v>
      </c>
      <c r="D69" s="23" t="s">
        <v>180</v>
      </c>
      <c r="E69" s="23" t="s">
        <v>181</v>
      </c>
      <c r="F69" s="23" t="s">
        <v>77</v>
      </c>
      <c r="G69" s="23" t="s">
        <v>78</v>
      </c>
      <c r="H69" s="24" t="s">
        <v>182</v>
      </c>
      <c r="I69" s="23" t="s">
        <v>183</v>
      </c>
      <c r="J69" s="23" t="s">
        <v>73</v>
      </c>
      <c r="K69" s="23" t="s">
        <v>113</v>
      </c>
      <c r="L69" s="23" t="s">
        <v>225</v>
      </c>
      <c r="M69" s="25" t="s">
        <v>103</v>
      </c>
    </row>
    <row r="70" customFormat="false" ht="34.5" hidden="false" customHeight="true" outlineLevel="0" collapsed="false">
      <c r="A70" s="12" t="s">
        <v>178</v>
      </c>
      <c r="B70" s="13" t="s">
        <v>35</v>
      </c>
      <c r="C70" s="34" t="s">
        <v>232</v>
      </c>
      <c r="D70" s="35" t="s">
        <v>233</v>
      </c>
      <c r="E70" s="35" t="s">
        <v>181</v>
      </c>
      <c r="F70" s="35" t="s">
        <v>77</v>
      </c>
      <c r="G70" s="35" t="s">
        <v>78</v>
      </c>
      <c r="H70" s="36" t="s">
        <v>234</v>
      </c>
      <c r="I70" s="35" t="s">
        <v>235</v>
      </c>
      <c r="J70" s="35" t="s">
        <v>73</v>
      </c>
      <c r="K70" s="35" t="s">
        <v>130</v>
      </c>
      <c r="L70" s="35" t="s">
        <v>236</v>
      </c>
      <c r="M70" s="37" t="s">
        <v>103</v>
      </c>
    </row>
    <row r="71" customFormat="false" ht="13.5" hidden="false" customHeight="true" outlineLevel="0" collapsed="false">
      <c r="A71" s="12"/>
      <c r="B71" s="12"/>
    </row>
    <row r="72" customFormat="false" ht="13.5" hidden="false" customHeight="true" outlineLevel="0" collapsed="false">
      <c r="A72" s="12"/>
      <c r="B72" s="12"/>
    </row>
    <row r="73" customFormat="false" ht="13.5" hidden="false" customHeight="true" outlineLevel="0" collapsed="false">
      <c r="A73" s="7" t="s">
        <v>45</v>
      </c>
      <c r="B73" s="8" t="s">
        <v>1</v>
      </c>
      <c r="C73" s="18" t="s">
        <v>47</v>
      </c>
      <c r="D73" s="19" t="s">
        <v>91</v>
      </c>
      <c r="E73" s="19" t="s">
        <v>92</v>
      </c>
      <c r="F73" s="19" t="s">
        <v>237</v>
      </c>
      <c r="G73" s="19" t="s">
        <v>57</v>
      </c>
      <c r="H73" s="20" t="s">
        <v>58</v>
      </c>
      <c r="I73" s="19" t="s">
        <v>51</v>
      </c>
      <c r="J73" s="19" t="s">
        <v>52</v>
      </c>
      <c r="K73" s="19" t="s">
        <v>53</v>
      </c>
      <c r="L73" s="21" t="s">
        <v>54</v>
      </c>
    </row>
    <row r="74" customFormat="false" ht="34.5" hidden="false" customHeight="true" outlineLevel="0" collapsed="false">
      <c r="A74" s="12" t="s">
        <v>238</v>
      </c>
      <c r="B74" s="13" t="s">
        <v>31</v>
      </c>
      <c r="C74" s="30" t="s">
        <v>239</v>
      </c>
      <c r="D74" s="31" t="s">
        <v>240</v>
      </c>
      <c r="E74" s="31" t="s">
        <v>241</v>
      </c>
      <c r="F74" s="31" t="s">
        <v>242</v>
      </c>
      <c r="G74" s="31" t="s">
        <v>77</v>
      </c>
      <c r="H74" s="32" t="s">
        <v>78</v>
      </c>
      <c r="I74" s="31" t="s">
        <v>243</v>
      </c>
      <c r="J74" s="31" t="s">
        <v>244</v>
      </c>
      <c r="K74" s="31" t="s">
        <v>174</v>
      </c>
      <c r="L74" s="33" t="s">
        <v>245</v>
      </c>
    </row>
    <row r="75" customFormat="false" ht="34.5" hidden="false" customHeight="true" outlineLevel="0" collapsed="false">
      <c r="A75" s="12" t="s">
        <v>238</v>
      </c>
      <c r="B75" s="13" t="s">
        <v>31</v>
      </c>
      <c r="C75" s="30" t="s">
        <v>246</v>
      </c>
      <c r="D75" s="31" t="s">
        <v>240</v>
      </c>
      <c r="E75" s="31" t="s">
        <v>241</v>
      </c>
      <c r="F75" s="31" t="s">
        <v>242</v>
      </c>
      <c r="G75" s="31" t="s">
        <v>77</v>
      </c>
      <c r="H75" s="32" t="s">
        <v>78</v>
      </c>
      <c r="I75" s="31" t="s">
        <v>243</v>
      </c>
      <c r="J75" s="31" t="s">
        <v>244</v>
      </c>
      <c r="K75" s="31" t="s">
        <v>142</v>
      </c>
      <c r="L75" s="33" t="s">
        <v>247</v>
      </c>
    </row>
    <row r="76" customFormat="false" ht="34.5" hidden="false" customHeight="true" outlineLevel="0" collapsed="false">
      <c r="A76" s="12" t="s">
        <v>238</v>
      </c>
      <c r="B76" s="13" t="s">
        <v>31</v>
      </c>
      <c r="C76" s="30" t="s">
        <v>248</v>
      </c>
      <c r="D76" s="31" t="s">
        <v>240</v>
      </c>
      <c r="E76" s="31" t="s">
        <v>241</v>
      </c>
      <c r="F76" s="31" t="s">
        <v>242</v>
      </c>
      <c r="G76" s="31" t="s">
        <v>77</v>
      </c>
      <c r="H76" s="32" t="s">
        <v>78</v>
      </c>
      <c r="I76" s="31" t="s">
        <v>243</v>
      </c>
      <c r="J76" s="31" t="s">
        <v>244</v>
      </c>
      <c r="K76" s="31" t="s">
        <v>73</v>
      </c>
      <c r="L76" s="33" t="s">
        <v>249</v>
      </c>
    </row>
    <row r="77" customFormat="false" ht="34.5" hidden="false" customHeight="true" outlineLevel="0" collapsed="false">
      <c r="A77" s="12" t="s">
        <v>238</v>
      </c>
      <c r="B77" s="13" t="s">
        <v>32</v>
      </c>
      <c r="C77" s="38" t="s">
        <v>250</v>
      </c>
      <c r="D77" s="39" t="s">
        <v>251</v>
      </c>
      <c r="E77" s="39" t="s">
        <v>241</v>
      </c>
      <c r="F77" s="39" t="s">
        <v>252</v>
      </c>
      <c r="G77" s="39" t="s">
        <v>77</v>
      </c>
      <c r="H77" s="40" t="s">
        <v>78</v>
      </c>
      <c r="I77" s="39" t="s">
        <v>253</v>
      </c>
      <c r="J77" s="39" t="s">
        <v>254</v>
      </c>
      <c r="K77" s="39" t="s">
        <v>73</v>
      </c>
      <c r="L77" s="41" t="s">
        <v>255</v>
      </c>
    </row>
    <row r="78" customFormat="false" ht="34.5" hidden="false" customHeight="true" outlineLevel="0" collapsed="false">
      <c r="A78" s="12" t="s">
        <v>238</v>
      </c>
      <c r="B78" s="13" t="s">
        <v>32</v>
      </c>
      <c r="C78" s="38" t="s">
        <v>256</v>
      </c>
      <c r="D78" s="39" t="s">
        <v>251</v>
      </c>
      <c r="E78" s="39" t="s">
        <v>241</v>
      </c>
      <c r="F78" s="39" t="s">
        <v>252</v>
      </c>
      <c r="G78" s="39" t="s">
        <v>77</v>
      </c>
      <c r="H78" s="40" t="s">
        <v>78</v>
      </c>
      <c r="I78" s="39" t="s">
        <v>253</v>
      </c>
      <c r="J78" s="39" t="s">
        <v>254</v>
      </c>
      <c r="K78" s="39" t="s">
        <v>73</v>
      </c>
      <c r="L78" s="41" t="s">
        <v>257</v>
      </c>
    </row>
    <row r="79" customFormat="false" ht="34.5" hidden="false" customHeight="true" outlineLevel="0" collapsed="false">
      <c r="A79" s="12" t="s">
        <v>238</v>
      </c>
      <c r="B79" s="13" t="s">
        <v>32</v>
      </c>
      <c r="C79" s="38" t="s">
        <v>258</v>
      </c>
      <c r="D79" s="39" t="s">
        <v>251</v>
      </c>
      <c r="E79" s="39" t="s">
        <v>241</v>
      </c>
      <c r="F79" s="39" t="s">
        <v>252</v>
      </c>
      <c r="G79" s="39" t="s">
        <v>77</v>
      </c>
      <c r="H79" s="40" t="s">
        <v>78</v>
      </c>
      <c r="I79" s="39" t="s">
        <v>253</v>
      </c>
      <c r="J79" s="39" t="s">
        <v>254</v>
      </c>
      <c r="K79" s="39" t="s">
        <v>73</v>
      </c>
      <c r="L79" s="41" t="s">
        <v>259</v>
      </c>
    </row>
    <row r="80" customFormat="false" ht="34.5" hidden="false" customHeight="true" outlineLevel="0" collapsed="false">
      <c r="A80" s="12" t="s">
        <v>238</v>
      </c>
      <c r="B80" s="13" t="s">
        <v>32</v>
      </c>
      <c r="C80" s="38" t="s">
        <v>260</v>
      </c>
      <c r="D80" s="39" t="s">
        <v>251</v>
      </c>
      <c r="E80" s="39" t="s">
        <v>241</v>
      </c>
      <c r="F80" s="39" t="s">
        <v>252</v>
      </c>
      <c r="G80" s="39" t="s">
        <v>77</v>
      </c>
      <c r="H80" s="40" t="s">
        <v>78</v>
      </c>
      <c r="I80" s="39" t="s">
        <v>253</v>
      </c>
      <c r="J80" s="39" t="s">
        <v>254</v>
      </c>
      <c r="K80" s="39" t="s">
        <v>73</v>
      </c>
      <c r="L80" s="41" t="s">
        <v>261</v>
      </c>
    </row>
    <row r="81" customFormat="false" ht="34.5" hidden="false" customHeight="true" outlineLevel="0" collapsed="false">
      <c r="A81" s="12" t="s">
        <v>238</v>
      </c>
      <c r="B81" s="13" t="s">
        <v>32</v>
      </c>
      <c r="C81" s="38" t="s">
        <v>262</v>
      </c>
      <c r="D81" s="39" t="s">
        <v>251</v>
      </c>
      <c r="E81" s="39" t="s">
        <v>241</v>
      </c>
      <c r="F81" s="39" t="s">
        <v>252</v>
      </c>
      <c r="G81" s="39" t="s">
        <v>77</v>
      </c>
      <c r="H81" s="40" t="s">
        <v>78</v>
      </c>
      <c r="I81" s="39" t="s">
        <v>253</v>
      </c>
      <c r="J81" s="39" t="s">
        <v>254</v>
      </c>
      <c r="K81" s="39" t="s">
        <v>73</v>
      </c>
      <c r="L81" s="41" t="s">
        <v>263</v>
      </c>
    </row>
    <row r="82" customFormat="false" ht="34.5" hidden="false" customHeight="true" outlineLevel="0" collapsed="false">
      <c r="A82" s="12" t="s">
        <v>238</v>
      </c>
      <c r="B82" s="13" t="s">
        <v>32</v>
      </c>
      <c r="C82" s="38" t="s">
        <v>264</v>
      </c>
      <c r="D82" s="39" t="s">
        <v>251</v>
      </c>
      <c r="E82" s="39" t="s">
        <v>241</v>
      </c>
      <c r="F82" s="39" t="s">
        <v>252</v>
      </c>
      <c r="G82" s="39" t="s">
        <v>77</v>
      </c>
      <c r="H82" s="40" t="s">
        <v>78</v>
      </c>
      <c r="I82" s="39" t="s">
        <v>253</v>
      </c>
      <c r="J82" s="39" t="s">
        <v>254</v>
      </c>
      <c r="K82" s="39" t="s">
        <v>73</v>
      </c>
      <c r="L82" s="41" t="s">
        <v>265</v>
      </c>
    </row>
    <row r="83" customFormat="false" ht="34.5" hidden="false" customHeight="true" outlineLevel="0" collapsed="false">
      <c r="A83" s="12" t="s">
        <v>238</v>
      </c>
      <c r="B83" s="13" t="s">
        <v>32</v>
      </c>
      <c r="C83" s="38" t="s">
        <v>266</v>
      </c>
      <c r="D83" s="39" t="s">
        <v>251</v>
      </c>
      <c r="E83" s="39" t="s">
        <v>241</v>
      </c>
      <c r="F83" s="39" t="s">
        <v>252</v>
      </c>
      <c r="G83" s="39" t="s">
        <v>77</v>
      </c>
      <c r="H83" s="40" t="s">
        <v>78</v>
      </c>
      <c r="I83" s="39" t="s">
        <v>253</v>
      </c>
      <c r="J83" s="39" t="s">
        <v>254</v>
      </c>
      <c r="K83" s="39" t="s">
        <v>73</v>
      </c>
      <c r="L83" s="41" t="s">
        <v>267</v>
      </c>
    </row>
    <row r="84" customFormat="false" ht="34.5" hidden="false" customHeight="true" outlineLevel="0" collapsed="false">
      <c r="A84" s="12" t="s">
        <v>238</v>
      </c>
      <c r="B84" s="13" t="s">
        <v>32</v>
      </c>
      <c r="C84" s="38" t="s">
        <v>268</v>
      </c>
      <c r="D84" s="39" t="s">
        <v>251</v>
      </c>
      <c r="E84" s="39" t="s">
        <v>241</v>
      </c>
      <c r="F84" s="39" t="s">
        <v>252</v>
      </c>
      <c r="G84" s="39" t="s">
        <v>77</v>
      </c>
      <c r="H84" s="40" t="s">
        <v>78</v>
      </c>
      <c r="I84" s="39" t="s">
        <v>253</v>
      </c>
      <c r="J84" s="39" t="s">
        <v>254</v>
      </c>
      <c r="K84" s="39" t="s">
        <v>73</v>
      </c>
      <c r="L84" s="41" t="s">
        <v>269</v>
      </c>
    </row>
    <row r="85" customFormat="false" ht="34.5" hidden="false" customHeight="true" outlineLevel="0" collapsed="false">
      <c r="A85" s="12" t="s">
        <v>238</v>
      </c>
      <c r="B85" s="13" t="s">
        <v>32</v>
      </c>
      <c r="C85" s="38" t="s">
        <v>270</v>
      </c>
      <c r="D85" s="39" t="s">
        <v>251</v>
      </c>
      <c r="E85" s="39" t="s">
        <v>241</v>
      </c>
      <c r="F85" s="39" t="s">
        <v>252</v>
      </c>
      <c r="G85" s="39" t="s">
        <v>77</v>
      </c>
      <c r="H85" s="40" t="s">
        <v>78</v>
      </c>
      <c r="I85" s="39" t="s">
        <v>253</v>
      </c>
      <c r="J85" s="39" t="s">
        <v>254</v>
      </c>
      <c r="K85" s="39" t="s">
        <v>73</v>
      </c>
      <c r="L85" s="41" t="s">
        <v>271</v>
      </c>
    </row>
    <row r="86" customFormat="false" ht="34.5" hidden="false" customHeight="true" outlineLevel="0" collapsed="false">
      <c r="A86" s="12" t="s">
        <v>238</v>
      </c>
      <c r="B86" s="13" t="s">
        <v>36</v>
      </c>
      <c r="C86" s="30" t="s">
        <v>272</v>
      </c>
      <c r="D86" s="31" t="s">
        <v>273</v>
      </c>
      <c r="E86" s="31" t="s">
        <v>241</v>
      </c>
      <c r="F86" s="31" t="s">
        <v>274</v>
      </c>
      <c r="G86" s="31" t="s">
        <v>77</v>
      </c>
      <c r="H86" s="32" t="s">
        <v>78</v>
      </c>
      <c r="I86" s="31" t="s">
        <v>275</v>
      </c>
      <c r="J86" s="31" t="s">
        <v>276</v>
      </c>
      <c r="K86" s="31" t="s">
        <v>174</v>
      </c>
      <c r="L86" s="33" t="s">
        <v>277</v>
      </c>
    </row>
    <row r="87" customFormat="false" ht="34.5" hidden="false" customHeight="true" outlineLevel="0" collapsed="false">
      <c r="A87" s="12" t="s">
        <v>238</v>
      </c>
      <c r="B87" s="13" t="s">
        <v>36</v>
      </c>
      <c r="C87" s="30" t="s">
        <v>278</v>
      </c>
      <c r="D87" s="31" t="s">
        <v>273</v>
      </c>
      <c r="E87" s="31" t="s">
        <v>241</v>
      </c>
      <c r="F87" s="31" t="s">
        <v>274</v>
      </c>
      <c r="G87" s="31" t="s">
        <v>77</v>
      </c>
      <c r="H87" s="32" t="s">
        <v>78</v>
      </c>
      <c r="I87" s="31" t="s">
        <v>275</v>
      </c>
      <c r="J87" s="31" t="s">
        <v>276</v>
      </c>
      <c r="K87" s="31" t="s">
        <v>142</v>
      </c>
      <c r="L87" s="33" t="s">
        <v>279</v>
      </c>
    </row>
    <row r="88" customFormat="false" ht="34.5" hidden="false" customHeight="true" outlineLevel="0" collapsed="false">
      <c r="A88" s="12" t="s">
        <v>238</v>
      </c>
      <c r="B88" s="13" t="s">
        <v>36</v>
      </c>
      <c r="C88" s="30" t="s">
        <v>280</v>
      </c>
      <c r="D88" s="31" t="s">
        <v>273</v>
      </c>
      <c r="E88" s="31" t="s">
        <v>241</v>
      </c>
      <c r="F88" s="31" t="s">
        <v>274</v>
      </c>
      <c r="G88" s="31" t="s">
        <v>77</v>
      </c>
      <c r="H88" s="32" t="s">
        <v>78</v>
      </c>
      <c r="I88" s="31" t="s">
        <v>275</v>
      </c>
      <c r="J88" s="31" t="s">
        <v>276</v>
      </c>
      <c r="K88" s="31" t="s">
        <v>73</v>
      </c>
      <c r="L88" s="33" t="s">
        <v>130</v>
      </c>
    </row>
    <row r="89" customFormat="false" ht="34.5" hidden="false" customHeight="true" outlineLevel="0" collapsed="false">
      <c r="A89" s="12" t="s">
        <v>238</v>
      </c>
      <c r="B89" s="13" t="s">
        <v>36</v>
      </c>
      <c r="C89" s="30" t="s">
        <v>281</v>
      </c>
      <c r="D89" s="31" t="s">
        <v>273</v>
      </c>
      <c r="E89" s="31" t="s">
        <v>241</v>
      </c>
      <c r="F89" s="31" t="s">
        <v>274</v>
      </c>
      <c r="G89" s="31" t="s">
        <v>77</v>
      </c>
      <c r="H89" s="32" t="s">
        <v>78</v>
      </c>
      <c r="I89" s="31" t="s">
        <v>275</v>
      </c>
      <c r="J89" s="31" t="s">
        <v>276</v>
      </c>
      <c r="K89" s="31" t="s">
        <v>73</v>
      </c>
      <c r="L89" s="33" t="s">
        <v>255</v>
      </c>
    </row>
    <row r="90" customFormat="false" ht="34.5" hidden="false" customHeight="true" outlineLevel="0" collapsed="false">
      <c r="A90" s="12" t="s">
        <v>238</v>
      </c>
      <c r="B90" s="13" t="s">
        <v>36</v>
      </c>
      <c r="C90" s="30" t="s">
        <v>282</v>
      </c>
      <c r="D90" s="31" t="s">
        <v>273</v>
      </c>
      <c r="E90" s="31" t="s">
        <v>241</v>
      </c>
      <c r="F90" s="31" t="s">
        <v>274</v>
      </c>
      <c r="G90" s="31" t="s">
        <v>77</v>
      </c>
      <c r="H90" s="32" t="s">
        <v>78</v>
      </c>
      <c r="I90" s="31" t="s">
        <v>275</v>
      </c>
      <c r="J90" s="31" t="s">
        <v>276</v>
      </c>
      <c r="K90" s="31" t="s">
        <v>73</v>
      </c>
      <c r="L90" s="33" t="s">
        <v>257</v>
      </c>
    </row>
    <row r="91" customFormat="false" ht="34.5" hidden="false" customHeight="true" outlineLevel="0" collapsed="false">
      <c r="A91" s="12" t="s">
        <v>238</v>
      </c>
      <c r="B91" s="13" t="s">
        <v>36</v>
      </c>
      <c r="C91" s="30" t="s">
        <v>283</v>
      </c>
      <c r="D91" s="31" t="s">
        <v>273</v>
      </c>
      <c r="E91" s="31" t="s">
        <v>241</v>
      </c>
      <c r="F91" s="31" t="s">
        <v>274</v>
      </c>
      <c r="G91" s="31" t="s">
        <v>77</v>
      </c>
      <c r="H91" s="32" t="s">
        <v>78</v>
      </c>
      <c r="I91" s="31" t="s">
        <v>275</v>
      </c>
      <c r="J91" s="31" t="s">
        <v>276</v>
      </c>
      <c r="K91" s="31" t="s">
        <v>73</v>
      </c>
      <c r="L91" s="33" t="s">
        <v>259</v>
      </c>
    </row>
    <row r="92" customFormat="false" ht="34.5" hidden="false" customHeight="true" outlineLevel="0" collapsed="false">
      <c r="A92" s="12" t="s">
        <v>238</v>
      </c>
      <c r="B92" s="13" t="s">
        <v>36</v>
      </c>
      <c r="C92" s="30" t="s">
        <v>284</v>
      </c>
      <c r="D92" s="31" t="s">
        <v>273</v>
      </c>
      <c r="E92" s="31" t="s">
        <v>241</v>
      </c>
      <c r="F92" s="31" t="s">
        <v>274</v>
      </c>
      <c r="G92" s="31" t="s">
        <v>77</v>
      </c>
      <c r="H92" s="32" t="s">
        <v>78</v>
      </c>
      <c r="I92" s="31" t="s">
        <v>275</v>
      </c>
      <c r="J92" s="31" t="s">
        <v>276</v>
      </c>
      <c r="K92" s="31" t="s">
        <v>73</v>
      </c>
      <c r="L92" s="33" t="s">
        <v>261</v>
      </c>
    </row>
    <row r="93" customFormat="false" ht="34.5" hidden="false" customHeight="true" outlineLevel="0" collapsed="false">
      <c r="A93" s="12" t="s">
        <v>238</v>
      </c>
      <c r="B93" s="13" t="s">
        <v>36</v>
      </c>
      <c r="C93" s="30" t="s">
        <v>285</v>
      </c>
      <c r="D93" s="31" t="s">
        <v>273</v>
      </c>
      <c r="E93" s="31" t="s">
        <v>241</v>
      </c>
      <c r="F93" s="31" t="s">
        <v>274</v>
      </c>
      <c r="G93" s="31" t="s">
        <v>77</v>
      </c>
      <c r="H93" s="32" t="s">
        <v>78</v>
      </c>
      <c r="I93" s="31" t="s">
        <v>275</v>
      </c>
      <c r="J93" s="31" t="s">
        <v>276</v>
      </c>
      <c r="K93" s="31" t="s">
        <v>174</v>
      </c>
      <c r="L93" s="33" t="s">
        <v>245</v>
      </c>
    </row>
    <row r="94" customFormat="false" ht="34.5" hidden="false" customHeight="true" outlineLevel="0" collapsed="false">
      <c r="A94" s="12" t="s">
        <v>238</v>
      </c>
      <c r="B94" s="13" t="s">
        <v>36</v>
      </c>
      <c r="C94" s="30" t="s">
        <v>286</v>
      </c>
      <c r="D94" s="31" t="s">
        <v>273</v>
      </c>
      <c r="E94" s="31" t="s">
        <v>241</v>
      </c>
      <c r="F94" s="31" t="s">
        <v>274</v>
      </c>
      <c r="G94" s="31" t="s">
        <v>77</v>
      </c>
      <c r="H94" s="32" t="s">
        <v>78</v>
      </c>
      <c r="I94" s="31" t="s">
        <v>275</v>
      </c>
      <c r="J94" s="31" t="s">
        <v>276</v>
      </c>
      <c r="K94" s="31" t="s">
        <v>73</v>
      </c>
      <c r="L94" s="33" t="s">
        <v>287</v>
      </c>
    </row>
    <row r="95" customFormat="false" ht="34.5" hidden="false" customHeight="true" outlineLevel="0" collapsed="false">
      <c r="A95" s="12" t="s">
        <v>238</v>
      </c>
      <c r="B95" s="13" t="s">
        <v>31</v>
      </c>
      <c r="C95" s="38" t="s">
        <v>288</v>
      </c>
      <c r="D95" s="39" t="s">
        <v>289</v>
      </c>
      <c r="E95" s="39" t="s">
        <v>241</v>
      </c>
      <c r="F95" s="39" t="s">
        <v>252</v>
      </c>
      <c r="G95" s="39" t="s">
        <v>77</v>
      </c>
      <c r="H95" s="40" t="s">
        <v>78</v>
      </c>
      <c r="I95" s="39" t="s">
        <v>290</v>
      </c>
      <c r="J95" s="39" t="s">
        <v>291</v>
      </c>
      <c r="K95" s="39" t="s">
        <v>73</v>
      </c>
      <c r="L95" s="41" t="s">
        <v>224</v>
      </c>
    </row>
    <row r="96" customFormat="false" ht="34.5" hidden="false" customHeight="true" outlineLevel="0" collapsed="false">
      <c r="A96" s="12" t="s">
        <v>238</v>
      </c>
      <c r="B96" s="13" t="s">
        <v>31</v>
      </c>
      <c r="C96" s="38" t="s">
        <v>292</v>
      </c>
      <c r="D96" s="39" t="s">
        <v>289</v>
      </c>
      <c r="E96" s="39" t="s">
        <v>241</v>
      </c>
      <c r="F96" s="39" t="s">
        <v>252</v>
      </c>
      <c r="G96" s="39" t="s">
        <v>77</v>
      </c>
      <c r="H96" s="40" t="s">
        <v>78</v>
      </c>
      <c r="I96" s="39" t="s">
        <v>290</v>
      </c>
      <c r="J96" s="39" t="s">
        <v>291</v>
      </c>
      <c r="K96" s="39" t="s">
        <v>73</v>
      </c>
      <c r="L96" s="41" t="s">
        <v>134</v>
      </c>
    </row>
    <row r="97" customFormat="false" ht="34.5" hidden="false" customHeight="true" outlineLevel="0" collapsed="false">
      <c r="A97" s="12" t="s">
        <v>238</v>
      </c>
      <c r="B97" s="13" t="s">
        <v>30</v>
      </c>
      <c r="C97" s="38" t="s">
        <v>293</v>
      </c>
      <c r="D97" s="39" t="s">
        <v>294</v>
      </c>
      <c r="E97" s="39" t="s">
        <v>241</v>
      </c>
      <c r="F97" s="39" t="s">
        <v>252</v>
      </c>
      <c r="G97" s="39" t="s">
        <v>77</v>
      </c>
      <c r="H97" s="40" t="s">
        <v>78</v>
      </c>
      <c r="I97" s="39" t="s">
        <v>295</v>
      </c>
      <c r="J97" s="39" t="s">
        <v>296</v>
      </c>
      <c r="K97" s="39" t="s">
        <v>73</v>
      </c>
      <c r="L97" s="41" t="s">
        <v>297</v>
      </c>
    </row>
    <row r="98" customFormat="false" ht="34.5" hidden="false" customHeight="true" outlineLevel="0" collapsed="false">
      <c r="A98" s="12" t="s">
        <v>238</v>
      </c>
      <c r="B98" s="13" t="s">
        <v>30</v>
      </c>
      <c r="C98" s="38" t="s">
        <v>298</v>
      </c>
      <c r="D98" s="39" t="s">
        <v>294</v>
      </c>
      <c r="E98" s="39" t="s">
        <v>241</v>
      </c>
      <c r="F98" s="39" t="s">
        <v>252</v>
      </c>
      <c r="G98" s="39" t="s">
        <v>77</v>
      </c>
      <c r="H98" s="40" t="s">
        <v>78</v>
      </c>
      <c r="I98" s="39" t="s">
        <v>295</v>
      </c>
      <c r="J98" s="39" t="s">
        <v>296</v>
      </c>
      <c r="K98" s="39" t="s">
        <v>73</v>
      </c>
      <c r="L98" s="41" t="s">
        <v>151</v>
      </c>
    </row>
    <row r="99" customFormat="false" ht="34.5" hidden="false" customHeight="true" outlineLevel="0" collapsed="false">
      <c r="A99" s="12" t="s">
        <v>238</v>
      </c>
      <c r="B99" s="13" t="s">
        <v>30</v>
      </c>
      <c r="C99" s="38" t="s">
        <v>299</v>
      </c>
      <c r="D99" s="39" t="s">
        <v>294</v>
      </c>
      <c r="E99" s="39" t="s">
        <v>241</v>
      </c>
      <c r="F99" s="39" t="s">
        <v>252</v>
      </c>
      <c r="G99" s="39" t="s">
        <v>77</v>
      </c>
      <c r="H99" s="40" t="s">
        <v>78</v>
      </c>
      <c r="I99" s="39" t="s">
        <v>295</v>
      </c>
      <c r="J99" s="39" t="s">
        <v>296</v>
      </c>
      <c r="K99" s="39" t="s">
        <v>73</v>
      </c>
      <c r="L99" s="41" t="s">
        <v>121</v>
      </c>
    </row>
    <row r="100" customFormat="false" ht="34.5" hidden="false" customHeight="true" outlineLevel="0" collapsed="false">
      <c r="A100" s="12" t="s">
        <v>238</v>
      </c>
      <c r="B100" s="13" t="s">
        <v>30</v>
      </c>
      <c r="C100" s="38" t="s">
        <v>300</v>
      </c>
      <c r="D100" s="39" t="s">
        <v>294</v>
      </c>
      <c r="E100" s="39" t="s">
        <v>241</v>
      </c>
      <c r="F100" s="39" t="s">
        <v>252</v>
      </c>
      <c r="G100" s="39" t="s">
        <v>77</v>
      </c>
      <c r="H100" s="40" t="s">
        <v>78</v>
      </c>
      <c r="I100" s="39" t="s">
        <v>295</v>
      </c>
      <c r="J100" s="39" t="s">
        <v>296</v>
      </c>
      <c r="K100" s="39" t="s">
        <v>73</v>
      </c>
      <c r="L100" s="41" t="s">
        <v>139</v>
      </c>
    </row>
    <row r="101" customFormat="false" ht="34.5" hidden="false" customHeight="true" outlineLevel="0" collapsed="false">
      <c r="A101" s="12" t="s">
        <v>238</v>
      </c>
      <c r="B101" s="13" t="s">
        <v>30</v>
      </c>
      <c r="C101" s="38" t="s">
        <v>301</v>
      </c>
      <c r="D101" s="39" t="s">
        <v>294</v>
      </c>
      <c r="E101" s="39" t="s">
        <v>241</v>
      </c>
      <c r="F101" s="39" t="s">
        <v>252</v>
      </c>
      <c r="G101" s="39" t="s">
        <v>77</v>
      </c>
      <c r="H101" s="40" t="s">
        <v>78</v>
      </c>
      <c r="I101" s="39" t="s">
        <v>295</v>
      </c>
      <c r="J101" s="39" t="s">
        <v>296</v>
      </c>
      <c r="K101" s="39" t="s">
        <v>73</v>
      </c>
      <c r="L101" s="41" t="s">
        <v>302</v>
      </c>
    </row>
    <row r="102" customFormat="false" ht="34.5" hidden="false" customHeight="true" outlineLevel="0" collapsed="false">
      <c r="A102" s="12" t="s">
        <v>238</v>
      </c>
      <c r="B102" s="13" t="s">
        <v>30</v>
      </c>
      <c r="C102" s="38" t="s">
        <v>303</v>
      </c>
      <c r="D102" s="39" t="s">
        <v>304</v>
      </c>
      <c r="E102" s="39" t="s">
        <v>241</v>
      </c>
      <c r="F102" s="39" t="s">
        <v>305</v>
      </c>
      <c r="G102" s="39" t="s">
        <v>77</v>
      </c>
      <c r="H102" s="40" t="s">
        <v>78</v>
      </c>
      <c r="I102" s="39" t="s">
        <v>306</v>
      </c>
      <c r="J102" s="39" t="s">
        <v>307</v>
      </c>
      <c r="K102" s="39" t="s">
        <v>73</v>
      </c>
      <c r="L102" s="41" t="s">
        <v>90</v>
      </c>
    </row>
    <row r="103" customFormat="false" ht="34.5" hidden="false" customHeight="true" outlineLevel="0" collapsed="false">
      <c r="A103" s="12" t="s">
        <v>238</v>
      </c>
      <c r="B103" s="13" t="s">
        <v>30</v>
      </c>
      <c r="C103" s="38" t="s">
        <v>308</v>
      </c>
      <c r="D103" s="39" t="s">
        <v>304</v>
      </c>
      <c r="E103" s="39" t="s">
        <v>241</v>
      </c>
      <c r="F103" s="39" t="s">
        <v>305</v>
      </c>
      <c r="G103" s="39" t="s">
        <v>77</v>
      </c>
      <c r="H103" s="40" t="s">
        <v>78</v>
      </c>
      <c r="I103" s="39" t="s">
        <v>306</v>
      </c>
      <c r="J103" s="39" t="s">
        <v>307</v>
      </c>
      <c r="K103" s="39" t="s">
        <v>73</v>
      </c>
      <c r="L103" s="41" t="s">
        <v>309</v>
      </c>
    </row>
    <row r="104" customFormat="false" ht="34.5" hidden="false" customHeight="true" outlineLevel="0" collapsed="false">
      <c r="A104" s="12" t="s">
        <v>238</v>
      </c>
      <c r="B104" s="13" t="s">
        <v>30</v>
      </c>
      <c r="C104" s="38" t="s">
        <v>310</v>
      </c>
      <c r="D104" s="39" t="s">
        <v>304</v>
      </c>
      <c r="E104" s="39" t="s">
        <v>241</v>
      </c>
      <c r="F104" s="39" t="s">
        <v>305</v>
      </c>
      <c r="G104" s="39" t="s">
        <v>77</v>
      </c>
      <c r="H104" s="40" t="s">
        <v>78</v>
      </c>
      <c r="I104" s="39" t="s">
        <v>306</v>
      </c>
      <c r="J104" s="39" t="s">
        <v>307</v>
      </c>
      <c r="K104" s="39" t="s">
        <v>73</v>
      </c>
      <c r="L104" s="41" t="s">
        <v>168</v>
      </c>
    </row>
    <row r="105" customFormat="false" ht="34.5" hidden="false" customHeight="true" outlineLevel="0" collapsed="false">
      <c r="A105" s="12" t="s">
        <v>238</v>
      </c>
      <c r="B105" s="13" t="s">
        <v>30</v>
      </c>
      <c r="C105" s="38" t="s">
        <v>311</v>
      </c>
      <c r="D105" s="39" t="s">
        <v>304</v>
      </c>
      <c r="E105" s="39" t="s">
        <v>241</v>
      </c>
      <c r="F105" s="39" t="s">
        <v>305</v>
      </c>
      <c r="G105" s="39" t="s">
        <v>77</v>
      </c>
      <c r="H105" s="40" t="s">
        <v>78</v>
      </c>
      <c r="I105" s="39" t="s">
        <v>306</v>
      </c>
      <c r="J105" s="39" t="s">
        <v>307</v>
      </c>
      <c r="K105" s="39" t="s">
        <v>73</v>
      </c>
      <c r="L105" s="41" t="s">
        <v>312</v>
      </c>
    </row>
    <row r="106" customFormat="false" ht="34.5" hidden="false" customHeight="true" outlineLevel="0" collapsed="false">
      <c r="A106" s="12" t="s">
        <v>238</v>
      </c>
      <c r="B106" s="13" t="s">
        <v>30</v>
      </c>
      <c r="C106" s="38" t="s">
        <v>313</v>
      </c>
      <c r="D106" s="39" t="s">
        <v>304</v>
      </c>
      <c r="E106" s="39" t="s">
        <v>241</v>
      </c>
      <c r="F106" s="39" t="s">
        <v>305</v>
      </c>
      <c r="G106" s="39" t="s">
        <v>77</v>
      </c>
      <c r="H106" s="40" t="s">
        <v>78</v>
      </c>
      <c r="I106" s="39" t="s">
        <v>306</v>
      </c>
      <c r="J106" s="39" t="s">
        <v>307</v>
      </c>
      <c r="K106" s="39" t="s">
        <v>73</v>
      </c>
      <c r="L106" s="41" t="s">
        <v>314</v>
      </c>
    </row>
    <row r="107" customFormat="false" ht="34.5" hidden="false" customHeight="true" outlineLevel="0" collapsed="false">
      <c r="A107" s="12" t="s">
        <v>238</v>
      </c>
      <c r="B107" s="13" t="s">
        <v>30</v>
      </c>
      <c r="C107" s="38" t="s">
        <v>315</v>
      </c>
      <c r="D107" s="39" t="s">
        <v>304</v>
      </c>
      <c r="E107" s="39" t="s">
        <v>241</v>
      </c>
      <c r="F107" s="39" t="s">
        <v>305</v>
      </c>
      <c r="G107" s="39" t="s">
        <v>77</v>
      </c>
      <c r="H107" s="40" t="s">
        <v>78</v>
      </c>
      <c r="I107" s="39" t="s">
        <v>306</v>
      </c>
      <c r="J107" s="39" t="s">
        <v>307</v>
      </c>
      <c r="K107" s="39" t="s">
        <v>73</v>
      </c>
      <c r="L107" s="41" t="s">
        <v>74</v>
      </c>
    </row>
    <row r="108" customFormat="false" ht="34.5" hidden="false" customHeight="true" outlineLevel="0" collapsed="false">
      <c r="A108" s="12" t="s">
        <v>238</v>
      </c>
      <c r="B108" s="13" t="s">
        <v>31</v>
      </c>
      <c r="C108" s="38" t="s">
        <v>316</v>
      </c>
      <c r="D108" s="39" t="s">
        <v>252</v>
      </c>
      <c r="E108" s="39" t="s">
        <v>241</v>
      </c>
      <c r="F108" s="39" t="s">
        <v>317</v>
      </c>
      <c r="G108" s="39" t="s">
        <v>77</v>
      </c>
      <c r="H108" s="40" t="s">
        <v>78</v>
      </c>
      <c r="I108" s="39" t="s">
        <v>318</v>
      </c>
      <c r="J108" s="39" t="s">
        <v>319</v>
      </c>
      <c r="K108" s="39" t="s">
        <v>73</v>
      </c>
      <c r="L108" s="41" t="s">
        <v>113</v>
      </c>
    </row>
    <row r="109" customFormat="false" ht="34.5" hidden="false" customHeight="true" outlineLevel="0" collapsed="false">
      <c r="A109" s="12" t="s">
        <v>238</v>
      </c>
      <c r="B109" s="13" t="s">
        <v>35</v>
      </c>
      <c r="C109" s="38" t="s">
        <v>320</v>
      </c>
      <c r="D109" s="39" t="s">
        <v>321</v>
      </c>
      <c r="E109" s="39" t="s">
        <v>241</v>
      </c>
      <c r="F109" s="39" t="s">
        <v>322</v>
      </c>
      <c r="G109" s="39" t="s">
        <v>77</v>
      </c>
      <c r="H109" s="40" t="s">
        <v>78</v>
      </c>
      <c r="I109" s="39" t="s">
        <v>323</v>
      </c>
      <c r="J109" s="39" t="s">
        <v>324</v>
      </c>
      <c r="K109" s="39" t="s">
        <v>73</v>
      </c>
      <c r="L109" s="41" t="s">
        <v>297</v>
      </c>
    </row>
    <row r="110" customFormat="false" ht="34.5" hidden="false" customHeight="true" outlineLevel="0" collapsed="false">
      <c r="A110" s="12" t="s">
        <v>238</v>
      </c>
      <c r="B110" s="13" t="s">
        <v>35</v>
      </c>
      <c r="C110" s="38" t="s">
        <v>325</v>
      </c>
      <c r="D110" s="39" t="s">
        <v>321</v>
      </c>
      <c r="E110" s="39" t="s">
        <v>241</v>
      </c>
      <c r="F110" s="39" t="s">
        <v>322</v>
      </c>
      <c r="G110" s="39" t="s">
        <v>77</v>
      </c>
      <c r="H110" s="40" t="s">
        <v>78</v>
      </c>
      <c r="I110" s="39" t="s">
        <v>323</v>
      </c>
      <c r="J110" s="39" t="s">
        <v>324</v>
      </c>
      <c r="K110" s="39" t="s">
        <v>73</v>
      </c>
      <c r="L110" s="41" t="s">
        <v>139</v>
      </c>
    </row>
    <row r="111" customFormat="false" ht="34.5" hidden="false" customHeight="true" outlineLevel="0" collapsed="false">
      <c r="A111" s="12" t="s">
        <v>238</v>
      </c>
      <c r="B111" s="13" t="s">
        <v>30</v>
      </c>
      <c r="C111" s="38" t="s">
        <v>326</v>
      </c>
      <c r="D111" s="39" t="s">
        <v>327</v>
      </c>
      <c r="E111" s="39" t="s">
        <v>241</v>
      </c>
      <c r="F111" s="39" t="s">
        <v>322</v>
      </c>
      <c r="G111" s="39" t="s">
        <v>77</v>
      </c>
      <c r="H111" s="40" t="s">
        <v>78</v>
      </c>
      <c r="I111" s="39" t="s">
        <v>328</v>
      </c>
      <c r="J111" s="39" t="s">
        <v>329</v>
      </c>
      <c r="K111" s="39" t="s">
        <v>174</v>
      </c>
      <c r="L111" s="41" t="s">
        <v>277</v>
      </c>
    </row>
    <row r="112" customFormat="false" ht="34.5" hidden="false" customHeight="true" outlineLevel="0" collapsed="false">
      <c r="A112" s="12" t="s">
        <v>238</v>
      </c>
      <c r="B112" s="13" t="s">
        <v>30</v>
      </c>
      <c r="C112" s="38" t="s">
        <v>330</v>
      </c>
      <c r="D112" s="39" t="s">
        <v>327</v>
      </c>
      <c r="E112" s="39" t="s">
        <v>241</v>
      </c>
      <c r="F112" s="39" t="s">
        <v>322</v>
      </c>
      <c r="G112" s="39" t="s">
        <v>77</v>
      </c>
      <c r="H112" s="40" t="s">
        <v>78</v>
      </c>
      <c r="I112" s="39" t="s">
        <v>328</v>
      </c>
      <c r="J112" s="39" t="s">
        <v>329</v>
      </c>
      <c r="K112" s="39" t="s">
        <v>142</v>
      </c>
      <c r="L112" s="41" t="s">
        <v>279</v>
      </c>
    </row>
    <row r="113" customFormat="false" ht="34.5" hidden="false" customHeight="true" outlineLevel="0" collapsed="false">
      <c r="A113" s="12" t="s">
        <v>238</v>
      </c>
      <c r="B113" s="13" t="s">
        <v>30</v>
      </c>
      <c r="C113" s="38" t="s">
        <v>331</v>
      </c>
      <c r="D113" s="39" t="s">
        <v>327</v>
      </c>
      <c r="E113" s="39" t="s">
        <v>241</v>
      </c>
      <c r="F113" s="39" t="s">
        <v>322</v>
      </c>
      <c r="G113" s="39" t="s">
        <v>77</v>
      </c>
      <c r="H113" s="40" t="s">
        <v>78</v>
      </c>
      <c r="I113" s="39" t="s">
        <v>328</v>
      </c>
      <c r="J113" s="39" t="s">
        <v>329</v>
      </c>
      <c r="K113" s="39" t="s">
        <v>73</v>
      </c>
      <c r="L113" s="41" t="s">
        <v>130</v>
      </c>
    </row>
    <row r="114" customFormat="false" ht="34.5" hidden="false" customHeight="true" outlineLevel="0" collapsed="false">
      <c r="A114" s="12" t="s">
        <v>238</v>
      </c>
      <c r="B114" s="13" t="s">
        <v>30</v>
      </c>
      <c r="C114" s="38" t="s">
        <v>332</v>
      </c>
      <c r="D114" s="39" t="s">
        <v>327</v>
      </c>
      <c r="E114" s="39" t="s">
        <v>241</v>
      </c>
      <c r="F114" s="39" t="s">
        <v>322</v>
      </c>
      <c r="G114" s="39" t="s">
        <v>77</v>
      </c>
      <c r="H114" s="40" t="s">
        <v>78</v>
      </c>
      <c r="I114" s="39" t="s">
        <v>328</v>
      </c>
      <c r="J114" s="39" t="s">
        <v>329</v>
      </c>
      <c r="K114" s="39" t="s">
        <v>73</v>
      </c>
      <c r="L114" s="41" t="s">
        <v>255</v>
      </c>
    </row>
    <row r="115" customFormat="false" ht="34.5" hidden="false" customHeight="true" outlineLevel="0" collapsed="false">
      <c r="A115" s="12" t="s">
        <v>238</v>
      </c>
      <c r="B115" s="13" t="s">
        <v>30</v>
      </c>
      <c r="C115" s="38" t="s">
        <v>333</v>
      </c>
      <c r="D115" s="39" t="s">
        <v>327</v>
      </c>
      <c r="E115" s="39" t="s">
        <v>241</v>
      </c>
      <c r="F115" s="39" t="s">
        <v>322</v>
      </c>
      <c r="G115" s="39" t="s">
        <v>77</v>
      </c>
      <c r="H115" s="40" t="s">
        <v>78</v>
      </c>
      <c r="I115" s="39" t="s">
        <v>328</v>
      </c>
      <c r="J115" s="39" t="s">
        <v>329</v>
      </c>
      <c r="K115" s="39" t="s">
        <v>73</v>
      </c>
      <c r="L115" s="41" t="s">
        <v>257</v>
      </c>
    </row>
    <row r="116" customFormat="false" ht="34.5" hidden="false" customHeight="true" outlineLevel="0" collapsed="false">
      <c r="A116" s="12" t="s">
        <v>238</v>
      </c>
      <c r="B116" s="13" t="s">
        <v>30</v>
      </c>
      <c r="C116" s="38" t="s">
        <v>334</v>
      </c>
      <c r="D116" s="39" t="s">
        <v>327</v>
      </c>
      <c r="E116" s="39" t="s">
        <v>241</v>
      </c>
      <c r="F116" s="39" t="s">
        <v>322</v>
      </c>
      <c r="G116" s="39" t="s">
        <v>77</v>
      </c>
      <c r="H116" s="40" t="s">
        <v>78</v>
      </c>
      <c r="I116" s="39" t="s">
        <v>328</v>
      </c>
      <c r="J116" s="39" t="s">
        <v>329</v>
      </c>
      <c r="K116" s="39" t="s">
        <v>73</v>
      </c>
      <c r="L116" s="41" t="s">
        <v>259</v>
      </c>
    </row>
    <row r="117" customFormat="false" ht="34.5" hidden="false" customHeight="true" outlineLevel="0" collapsed="false">
      <c r="A117" s="12" t="s">
        <v>238</v>
      </c>
      <c r="B117" s="13" t="s">
        <v>30</v>
      </c>
      <c r="C117" s="38" t="s">
        <v>335</v>
      </c>
      <c r="D117" s="39" t="s">
        <v>327</v>
      </c>
      <c r="E117" s="39" t="s">
        <v>241</v>
      </c>
      <c r="F117" s="39" t="s">
        <v>322</v>
      </c>
      <c r="G117" s="39" t="s">
        <v>77</v>
      </c>
      <c r="H117" s="40" t="s">
        <v>78</v>
      </c>
      <c r="I117" s="39" t="s">
        <v>328</v>
      </c>
      <c r="J117" s="39" t="s">
        <v>329</v>
      </c>
      <c r="K117" s="39" t="s">
        <v>73</v>
      </c>
      <c r="L117" s="41" t="s">
        <v>261</v>
      </c>
    </row>
    <row r="118" customFormat="false" ht="34.5" hidden="false" customHeight="true" outlineLevel="0" collapsed="false">
      <c r="A118" s="12" t="s">
        <v>238</v>
      </c>
      <c r="B118" s="13" t="s">
        <v>30</v>
      </c>
      <c r="C118" s="38" t="s">
        <v>336</v>
      </c>
      <c r="D118" s="39" t="s">
        <v>327</v>
      </c>
      <c r="E118" s="39" t="s">
        <v>241</v>
      </c>
      <c r="F118" s="39" t="s">
        <v>322</v>
      </c>
      <c r="G118" s="39" t="s">
        <v>77</v>
      </c>
      <c r="H118" s="40" t="s">
        <v>78</v>
      </c>
      <c r="I118" s="39" t="s">
        <v>328</v>
      </c>
      <c r="J118" s="39" t="s">
        <v>329</v>
      </c>
      <c r="K118" s="39" t="s">
        <v>174</v>
      </c>
      <c r="L118" s="41" t="s">
        <v>245</v>
      </c>
    </row>
    <row r="119" customFormat="false" ht="34.5" hidden="false" customHeight="true" outlineLevel="0" collapsed="false">
      <c r="A119" s="12" t="s">
        <v>238</v>
      </c>
      <c r="B119" s="13" t="s">
        <v>30</v>
      </c>
      <c r="C119" s="38" t="s">
        <v>337</v>
      </c>
      <c r="D119" s="39" t="s">
        <v>327</v>
      </c>
      <c r="E119" s="39" t="s">
        <v>241</v>
      </c>
      <c r="F119" s="39" t="s">
        <v>322</v>
      </c>
      <c r="G119" s="39" t="s">
        <v>77</v>
      </c>
      <c r="H119" s="40" t="s">
        <v>78</v>
      </c>
      <c r="I119" s="39" t="s">
        <v>328</v>
      </c>
      <c r="J119" s="39" t="s">
        <v>329</v>
      </c>
      <c r="K119" s="39" t="s">
        <v>142</v>
      </c>
      <c r="L119" s="41" t="s">
        <v>247</v>
      </c>
    </row>
    <row r="120" customFormat="false" ht="34.5" hidden="false" customHeight="true" outlineLevel="0" collapsed="false">
      <c r="A120" s="12" t="s">
        <v>238</v>
      </c>
      <c r="B120" s="13" t="s">
        <v>30</v>
      </c>
      <c r="C120" s="38" t="s">
        <v>338</v>
      </c>
      <c r="D120" s="39" t="s">
        <v>327</v>
      </c>
      <c r="E120" s="39" t="s">
        <v>241</v>
      </c>
      <c r="F120" s="39" t="s">
        <v>322</v>
      </c>
      <c r="G120" s="39" t="s">
        <v>77</v>
      </c>
      <c r="H120" s="40" t="s">
        <v>78</v>
      </c>
      <c r="I120" s="39" t="s">
        <v>328</v>
      </c>
      <c r="J120" s="39" t="s">
        <v>329</v>
      </c>
      <c r="K120" s="39" t="s">
        <v>73</v>
      </c>
      <c r="L120" s="41" t="s">
        <v>249</v>
      </c>
    </row>
    <row r="121" customFormat="false" ht="34.5" hidden="false" customHeight="true" outlineLevel="0" collapsed="false">
      <c r="A121" s="12" t="s">
        <v>238</v>
      </c>
      <c r="B121" s="13" t="s">
        <v>30</v>
      </c>
      <c r="C121" s="38" t="s">
        <v>339</v>
      </c>
      <c r="D121" s="39" t="s">
        <v>327</v>
      </c>
      <c r="E121" s="39" t="s">
        <v>241</v>
      </c>
      <c r="F121" s="39" t="s">
        <v>322</v>
      </c>
      <c r="G121" s="39" t="s">
        <v>77</v>
      </c>
      <c r="H121" s="40" t="s">
        <v>78</v>
      </c>
      <c r="I121" s="39" t="s">
        <v>328</v>
      </c>
      <c r="J121" s="39" t="s">
        <v>329</v>
      </c>
      <c r="K121" s="39" t="s">
        <v>73</v>
      </c>
      <c r="L121" s="41" t="s">
        <v>340</v>
      </c>
    </row>
    <row r="122" customFormat="false" ht="34.5" hidden="false" customHeight="true" outlineLevel="0" collapsed="false">
      <c r="A122" s="12" t="s">
        <v>238</v>
      </c>
      <c r="B122" s="13" t="s">
        <v>30</v>
      </c>
      <c r="C122" s="38" t="s">
        <v>341</v>
      </c>
      <c r="D122" s="39" t="s">
        <v>327</v>
      </c>
      <c r="E122" s="39" t="s">
        <v>241</v>
      </c>
      <c r="F122" s="39" t="s">
        <v>322</v>
      </c>
      <c r="G122" s="39" t="s">
        <v>77</v>
      </c>
      <c r="H122" s="40" t="s">
        <v>78</v>
      </c>
      <c r="I122" s="39" t="s">
        <v>328</v>
      </c>
      <c r="J122" s="39" t="s">
        <v>329</v>
      </c>
      <c r="K122" s="39" t="s">
        <v>73</v>
      </c>
      <c r="L122" s="41" t="s">
        <v>287</v>
      </c>
    </row>
    <row r="123" customFormat="false" ht="34.5" hidden="false" customHeight="true" outlineLevel="0" collapsed="false">
      <c r="A123" s="12" t="s">
        <v>238</v>
      </c>
      <c r="B123" s="13" t="s">
        <v>34</v>
      </c>
      <c r="C123" s="38" t="s">
        <v>342</v>
      </c>
      <c r="D123" s="39" t="s">
        <v>327</v>
      </c>
      <c r="E123" s="39" t="s">
        <v>241</v>
      </c>
      <c r="F123" s="39" t="s">
        <v>322</v>
      </c>
      <c r="G123" s="39" t="s">
        <v>77</v>
      </c>
      <c r="H123" s="40" t="s">
        <v>78</v>
      </c>
      <c r="I123" s="39" t="s">
        <v>343</v>
      </c>
      <c r="J123" s="39" t="s">
        <v>344</v>
      </c>
      <c r="K123" s="39" t="s">
        <v>115</v>
      </c>
      <c r="L123" s="41" t="s">
        <v>345</v>
      </c>
    </row>
    <row r="124" customFormat="false" ht="34.5" hidden="false" customHeight="true" outlineLevel="0" collapsed="false">
      <c r="A124" s="12" t="s">
        <v>238</v>
      </c>
      <c r="B124" s="13" t="s">
        <v>34</v>
      </c>
      <c r="C124" s="38" t="s">
        <v>346</v>
      </c>
      <c r="D124" s="39" t="s">
        <v>327</v>
      </c>
      <c r="E124" s="39" t="s">
        <v>241</v>
      </c>
      <c r="F124" s="39" t="s">
        <v>322</v>
      </c>
      <c r="G124" s="39" t="s">
        <v>77</v>
      </c>
      <c r="H124" s="40" t="s">
        <v>78</v>
      </c>
      <c r="I124" s="39" t="s">
        <v>343</v>
      </c>
      <c r="J124" s="39" t="s">
        <v>344</v>
      </c>
      <c r="K124" s="39" t="s">
        <v>115</v>
      </c>
      <c r="L124" s="41" t="s">
        <v>163</v>
      </c>
    </row>
    <row r="125" customFormat="false" ht="34.5" hidden="false" customHeight="true" outlineLevel="0" collapsed="false">
      <c r="A125" s="12" t="s">
        <v>238</v>
      </c>
      <c r="B125" s="13" t="s">
        <v>34</v>
      </c>
      <c r="C125" s="38" t="s">
        <v>347</v>
      </c>
      <c r="D125" s="39" t="s">
        <v>327</v>
      </c>
      <c r="E125" s="39" t="s">
        <v>241</v>
      </c>
      <c r="F125" s="39" t="s">
        <v>322</v>
      </c>
      <c r="G125" s="39" t="s">
        <v>77</v>
      </c>
      <c r="H125" s="40" t="s">
        <v>78</v>
      </c>
      <c r="I125" s="39" t="s">
        <v>343</v>
      </c>
      <c r="J125" s="39" t="s">
        <v>344</v>
      </c>
      <c r="K125" s="39" t="s">
        <v>115</v>
      </c>
      <c r="L125" s="41" t="s">
        <v>172</v>
      </c>
    </row>
    <row r="126" customFormat="false" ht="34.5" hidden="false" customHeight="true" outlineLevel="0" collapsed="false">
      <c r="A126" s="12" t="s">
        <v>238</v>
      </c>
      <c r="B126" s="13" t="s">
        <v>34</v>
      </c>
      <c r="C126" s="38" t="s">
        <v>348</v>
      </c>
      <c r="D126" s="39" t="s">
        <v>327</v>
      </c>
      <c r="E126" s="39" t="s">
        <v>241</v>
      </c>
      <c r="F126" s="39" t="s">
        <v>322</v>
      </c>
      <c r="G126" s="39" t="s">
        <v>77</v>
      </c>
      <c r="H126" s="40" t="s">
        <v>78</v>
      </c>
      <c r="I126" s="39" t="s">
        <v>343</v>
      </c>
      <c r="J126" s="39" t="s">
        <v>344</v>
      </c>
      <c r="K126" s="39" t="s">
        <v>115</v>
      </c>
      <c r="L126" s="41" t="s">
        <v>349</v>
      </c>
    </row>
    <row r="127" customFormat="false" ht="34.5" hidden="false" customHeight="true" outlineLevel="0" collapsed="false">
      <c r="A127" s="12" t="s">
        <v>238</v>
      </c>
      <c r="B127" s="13" t="s">
        <v>34</v>
      </c>
      <c r="C127" s="38" t="s">
        <v>350</v>
      </c>
      <c r="D127" s="39" t="s">
        <v>327</v>
      </c>
      <c r="E127" s="39" t="s">
        <v>241</v>
      </c>
      <c r="F127" s="39" t="s">
        <v>322</v>
      </c>
      <c r="G127" s="39" t="s">
        <v>77</v>
      </c>
      <c r="H127" s="40" t="s">
        <v>78</v>
      </c>
      <c r="I127" s="39" t="s">
        <v>343</v>
      </c>
      <c r="J127" s="39" t="s">
        <v>344</v>
      </c>
      <c r="K127" s="39" t="s">
        <v>115</v>
      </c>
      <c r="L127" s="41" t="s">
        <v>187</v>
      </c>
    </row>
    <row r="128" customFormat="false" ht="34.5" hidden="false" customHeight="true" outlineLevel="0" collapsed="false">
      <c r="A128" s="12" t="s">
        <v>238</v>
      </c>
      <c r="B128" s="13" t="s">
        <v>34</v>
      </c>
      <c r="C128" s="38" t="s">
        <v>351</v>
      </c>
      <c r="D128" s="39" t="s">
        <v>327</v>
      </c>
      <c r="E128" s="39" t="s">
        <v>241</v>
      </c>
      <c r="F128" s="39" t="s">
        <v>322</v>
      </c>
      <c r="G128" s="39" t="s">
        <v>77</v>
      </c>
      <c r="H128" s="40" t="s">
        <v>78</v>
      </c>
      <c r="I128" s="39" t="s">
        <v>343</v>
      </c>
      <c r="J128" s="39" t="s">
        <v>344</v>
      </c>
      <c r="K128" s="39" t="s">
        <v>115</v>
      </c>
      <c r="L128" s="41" t="s">
        <v>190</v>
      </c>
    </row>
    <row r="129" customFormat="false" ht="34.5" hidden="false" customHeight="true" outlineLevel="0" collapsed="false">
      <c r="A129" s="12" t="s">
        <v>238</v>
      </c>
      <c r="B129" s="13" t="s">
        <v>28</v>
      </c>
      <c r="C129" s="30" t="s">
        <v>352</v>
      </c>
      <c r="D129" s="31" t="s">
        <v>353</v>
      </c>
      <c r="E129" s="31" t="s">
        <v>241</v>
      </c>
      <c r="F129" s="31" t="s">
        <v>354</v>
      </c>
      <c r="G129" s="31" t="s">
        <v>77</v>
      </c>
      <c r="H129" s="32" t="s">
        <v>78</v>
      </c>
      <c r="I129" s="31" t="s">
        <v>355</v>
      </c>
      <c r="J129" s="31" t="s">
        <v>356</v>
      </c>
      <c r="K129" s="31" t="s">
        <v>73</v>
      </c>
      <c r="L129" s="33" t="s">
        <v>134</v>
      </c>
    </row>
    <row r="130" customFormat="false" ht="34.5" hidden="false" customHeight="true" outlineLevel="0" collapsed="false">
      <c r="A130" s="12" t="s">
        <v>238</v>
      </c>
      <c r="B130" s="13" t="s">
        <v>36</v>
      </c>
      <c r="C130" s="30" t="s">
        <v>357</v>
      </c>
      <c r="D130" s="31" t="s">
        <v>358</v>
      </c>
      <c r="E130" s="31" t="s">
        <v>241</v>
      </c>
      <c r="F130" s="31" t="s">
        <v>274</v>
      </c>
      <c r="G130" s="31" t="s">
        <v>77</v>
      </c>
      <c r="H130" s="32" t="s">
        <v>78</v>
      </c>
      <c r="I130" s="31" t="s">
        <v>275</v>
      </c>
      <c r="J130" s="31" t="s">
        <v>276</v>
      </c>
      <c r="K130" s="31" t="s">
        <v>142</v>
      </c>
      <c r="L130" s="33" t="s">
        <v>247</v>
      </c>
    </row>
    <row r="131" customFormat="false" ht="34.5" hidden="false" customHeight="true" outlineLevel="0" collapsed="false">
      <c r="A131" s="12" t="s">
        <v>238</v>
      </c>
      <c r="B131" s="13" t="s">
        <v>31</v>
      </c>
      <c r="C131" s="30" t="s">
        <v>359</v>
      </c>
      <c r="D131" s="31" t="s">
        <v>240</v>
      </c>
      <c r="E131" s="31" t="s">
        <v>241</v>
      </c>
      <c r="F131" s="31" t="s">
        <v>242</v>
      </c>
      <c r="G131" s="31" t="s">
        <v>77</v>
      </c>
      <c r="H131" s="32" t="s">
        <v>78</v>
      </c>
      <c r="I131" s="31" t="s">
        <v>243</v>
      </c>
      <c r="J131" s="31" t="s">
        <v>244</v>
      </c>
      <c r="K131" s="31" t="s">
        <v>174</v>
      </c>
      <c r="L131" s="33" t="s">
        <v>277</v>
      </c>
    </row>
    <row r="132" customFormat="false" ht="34.5" hidden="false" customHeight="true" outlineLevel="0" collapsed="false">
      <c r="A132" s="12" t="s">
        <v>238</v>
      </c>
      <c r="B132" s="13" t="s">
        <v>31</v>
      </c>
      <c r="C132" s="30" t="s">
        <v>360</v>
      </c>
      <c r="D132" s="31" t="s">
        <v>240</v>
      </c>
      <c r="E132" s="31" t="s">
        <v>241</v>
      </c>
      <c r="F132" s="31" t="s">
        <v>242</v>
      </c>
      <c r="G132" s="31" t="s">
        <v>77</v>
      </c>
      <c r="H132" s="32" t="s">
        <v>78</v>
      </c>
      <c r="I132" s="31" t="s">
        <v>243</v>
      </c>
      <c r="J132" s="31" t="s">
        <v>244</v>
      </c>
      <c r="K132" s="31" t="s">
        <v>142</v>
      </c>
      <c r="L132" s="33" t="s">
        <v>149</v>
      </c>
    </row>
    <row r="133" customFormat="false" ht="34.5" hidden="false" customHeight="true" outlineLevel="0" collapsed="false">
      <c r="A133" s="12" t="s">
        <v>238</v>
      </c>
      <c r="B133" s="13" t="s">
        <v>31</v>
      </c>
      <c r="C133" s="30" t="s">
        <v>361</v>
      </c>
      <c r="D133" s="31" t="s">
        <v>240</v>
      </c>
      <c r="E133" s="31" t="s">
        <v>241</v>
      </c>
      <c r="F133" s="31" t="s">
        <v>242</v>
      </c>
      <c r="G133" s="31" t="s">
        <v>77</v>
      </c>
      <c r="H133" s="32" t="s">
        <v>78</v>
      </c>
      <c r="I133" s="31" t="s">
        <v>243</v>
      </c>
      <c r="J133" s="31" t="s">
        <v>244</v>
      </c>
      <c r="K133" s="31" t="s">
        <v>142</v>
      </c>
      <c r="L133" s="33" t="s">
        <v>143</v>
      </c>
    </row>
    <row r="134" customFormat="false" ht="34.5" hidden="false" customHeight="true" outlineLevel="0" collapsed="false">
      <c r="A134" s="12" t="s">
        <v>238</v>
      </c>
      <c r="B134" s="13" t="s">
        <v>31</v>
      </c>
      <c r="C134" s="30" t="s">
        <v>362</v>
      </c>
      <c r="D134" s="31" t="s">
        <v>240</v>
      </c>
      <c r="E134" s="31" t="s">
        <v>241</v>
      </c>
      <c r="F134" s="31" t="s">
        <v>242</v>
      </c>
      <c r="G134" s="31" t="s">
        <v>77</v>
      </c>
      <c r="H134" s="32" t="s">
        <v>78</v>
      </c>
      <c r="I134" s="31" t="s">
        <v>243</v>
      </c>
      <c r="J134" s="31" t="s">
        <v>244</v>
      </c>
      <c r="K134" s="31" t="s">
        <v>142</v>
      </c>
      <c r="L134" s="33" t="s">
        <v>279</v>
      </c>
    </row>
    <row r="135" customFormat="false" ht="34.5" hidden="false" customHeight="true" outlineLevel="0" collapsed="false">
      <c r="A135" s="12" t="s">
        <v>238</v>
      </c>
      <c r="B135" s="13" t="s">
        <v>31</v>
      </c>
      <c r="C135" s="30" t="s">
        <v>363</v>
      </c>
      <c r="D135" s="31" t="s">
        <v>240</v>
      </c>
      <c r="E135" s="31" t="s">
        <v>241</v>
      </c>
      <c r="F135" s="31" t="s">
        <v>242</v>
      </c>
      <c r="G135" s="31" t="s">
        <v>77</v>
      </c>
      <c r="H135" s="32" t="s">
        <v>78</v>
      </c>
      <c r="I135" s="31" t="s">
        <v>243</v>
      </c>
      <c r="J135" s="31" t="s">
        <v>244</v>
      </c>
      <c r="K135" s="31" t="s">
        <v>73</v>
      </c>
      <c r="L135" s="33" t="s">
        <v>364</v>
      </c>
    </row>
    <row r="136" customFormat="false" ht="34.5" hidden="false" customHeight="true" outlineLevel="0" collapsed="false">
      <c r="A136" s="12" t="s">
        <v>238</v>
      </c>
      <c r="B136" s="13" t="s">
        <v>31</v>
      </c>
      <c r="C136" s="30" t="s">
        <v>365</v>
      </c>
      <c r="D136" s="31" t="s">
        <v>240</v>
      </c>
      <c r="E136" s="31" t="s">
        <v>241</v>
      </c>
      <c r="F136" s="31" t="s">
        <v>242</v>
      </c>
      <c r="G136" s="31" t="s">
        <v>77</v>
      </c>
      <c r="H136" s="32" t="s">
        <v>78</v>
      </c>
      <c r="I136" s="31" t="s">
        <v>243</v>
      </c>
      <c r="J136" s="31" t="s">
        <v>244</v>
      </c>
      <c r="K136" s="31" t="s">
        <v>73</v>
      </c>
      <c r="L136" s="33" t="s">
        <v>297</v>
      </c>
    </row>
    <row r="137" customFormat="false" ht="34.5" hidden="false" customHeight="true" outlineLevel="0" collapsed="false">
      <c r="A137" s="12" t="s">
        <v>238</v>
      </c>
      <c r="B137" s="13" t="s">
        <v>31</v>
      </c>
      <c r="C137" s="30" t="s">
        <v>366</v>
      </c>
      <c r="D137" s="31" t="s">
        <v>240</v>
      </c>
      <c r="E137" s="31" t="s">
        <v>241</v>
      </c>
      <c r="F137" s="31" t="s">
        <v>242</v>
      </c>
      <c r="G137" s="31" t="s">
        <v>77</v>
      </c>
      <c r="H137" s="32" t="s">
        <v>78</v>
      </c>
      <c r="I137" s="31" t="s">
        <v>243</v>
      </c>
      <c r="J137" s="31" t="s">
        <v>244</v>
      </c>
      <c r="K137" s="31" t="s">
        <v>73</v>
      </c>
      <c r="L137" s="33" t="s">
        <v>151</v>
      </c>
    </row>
    <row r="138" customFormat="false" ht="34.5" hidden="false" customHeight="true" outlineLevel="0" collapsed="false">
      <c r="A138" s="12" t="s">
        <v>238</v>
      </c>
      <c r="B138" s="13" t="s">
        <v>31</v>
      </c>
      <c r="C138" s="30" t="s">
        <v>367</v>
      </c>
      <c r="D138" s="31" t="s">
        <v>240</v>
      </c>
      <c r="E138" s="31" t="s">
        <v>241</v>
      </c>
      <c r="F138" s="31" t="s">
        <v>242</v>
      </c>
      <c r="G138" s="31" t="s">
        <v>77</v>
      </c>
      <c r="H138" s="32" t="s">
        <v>78</v>
      </c>
      <c r="I138" s="31" t="s">
        <v>243</v>
      </c>
      <c r="J138" s="31" t="s">
        <v>244</v>
      </c>
      <c r="K138" s="31" t="s">
        <v>73</v>
      </c>
      <c r="L138" s="33" t="s">
        <v>121</v>
      </c>
    </row>
    <row r="139" customFormat="false" ht="34.5" hidden="false" customHeight="true" outlineLevel="0" collapsed="false">
      <c r="A139" s="12" t="s">
        <v>238</v>
      </c>
      <c r="B139" s="13" t="s">
        <v>31</v>
      </c>
      <c r="C139" s="30" t="s">
        <v>368</v>
      </c>
      <c r="D139" s="31" t="s">
        <v>240</v>
      </c>
      <c r="E139" s="31" t="s">
        <v>241</v>
      </c>
      <c r="F139" s="31" t="s">
        <v>242</v>
      </c>
      <c r="G139" s="31" t="s">
        <v>77</v>
      </c>
      <c r="H139" s="32" t="s">
        <v>78</v>
      </c>
      <c r="I139" s="31" t="s">
        <v>243</v>
      </c>
      <c r="J139" s="31" t="s">
        <v>244</v>
      </c>
      <c r="K139" s="31" t="s">
        <v>73</v>
      </c>
      <c r="L139" s="33" t="s">
        <v>139</v>
      </c>
    </row>
    <row r="140" customFormat="false" ht="34.5" hidden="false" customHeight="true" outlineLevel="0" collapsed="false">
      <c r="A140" s="12" t="s">
        <v>238</v>
      </c>
      <c r="B140" s="13" t="s">
        <v>31</v>
      </c>
      <c r="C140" s="30" t="s">
        <v>369</v>
      </c>
      <c r="D140" s="31" t="s">
        <v>240</v>
      </c>
      <c r="E140" s="31" t="s">
        <v>241</v>
      </c>
      <c r="F140" s="31" t="s">
        <v>242</v>
      </c>
      <c r="G140" s="31" t="s">
        <v>77</v>
      </c>
      <c r="H140" s="32" t="s">
        <v>78</v>
      </c>
      <c r="I140" s="31" t="s">
        <v>243</v>
      </c>
      <c r="J140" s="31" t="s">
        <v>244</v>
      </c>
      <c r="K140" s="31" t="s">
        <v>73</v>
      </c>
      <c r="L140" s="33" t="s">
        <v>302</v>
      </c>
    </row>
    <row r="141" customFormat="false" ht="34.5" hidden="false" customHeight="true" outlineLevel="0" collapsed="false">
      <c r="A141" s="12" t="s">
        <v>238</v>
      </c>
      <c r="B141" s="13" t="s">
        <v>31</v>
      </c>
      <c r="C141" s="30" t="s">
        <v>370</v>
      </c>
      <c r="D141" s="31" t="s">
        <v>240</v>
      </c>
      <c r="E141" s="31" t="s">
        <v>241</v>
      </c>
      <c r="F141" s="31" t="s">
        <v>242</v>
      </c>
      <c r="G141" s="31" t="s">
        <v>77</v>
      </c>
      <c r="H141" s="32" t="s">
        <v>78</v>
      </c>
      <c r="I141" s="31" t="s">
        <v>243</v>
      </c>
      <c r="J141" s="31" t="s">
        <v>244</v>
      </c>
      <c r="K141" s="31" t="s">
        <v>73</v>
      </c>
      <c r="L141" s="33" t="s">
        <v>130</v>
      </c>
    </row>
    <row r="142" customFormat="false" ht="34.5" hidden="false" customHeight="true" outlineLevel="0" collapsed="false">
      <c r="A142" s="12" t="s">
        <v>238</v>
      </c>
      <c r="B142" s="13" t="s">
        <v>31</v>
      </c>
      <c r="C142" s="30" t="s">
        <v>371</v>
      </c>
      <c r="D142" s="31" t="s">
        <v>240</v>
      </c>
      <c r="E142" s="31" t="s">
        <v>241</v>
      </c>
      <c r="F142" s="31" t="s">
        <v>242</v>
      </c>
      <c r="G142" s="31" t="s">
        <v>77</v>
      </c>
      <c r="H142" s="32" t="s">
        <v>78</v>
      </c>
      <c r="I142" s="31" t="s">
        <v>243</v>
      </c>
      <c r="J142" s="31" t="s">
        <v>244</v>
      </c>
      <c r="K142" s="31" t="s">
        <v>73</v>
      </c>
      <c r="L142" s="33" t="s">
        <v>257</v>
      </c>
    </row>
    <row r="143" customFormat="false" ht="34.5" hidden="false" customHeight="true" outlineLevel="0" collapsed="false">
      <c r="A143" s="12" t="s">
        <v>238</v>
      </c>
      <c r="B143" s="13" t="s">
        <v>31</v>
      </c>
      <c r="C143" s="30" t="s">
        <v>372</v>
      </c>
      <c r="D143" s="31" t="s">
        <v>240</v>
      </c>
      <c r="E143" s="31" t="s">
        <v>241</v>
      </c>
      <c r="F143" s="31" t="s">
        <v>242</v>
      </c>
      <c r="G143" s="31" t="s">
        <v>77</v>
      </c>
      <c r="H143" s="32" t="s">
        <v>78</v>
      </c>
      <c r="I143" s="31" t="s">
        <v>243</v>
      </c>
      <c r="J143" s="31" t="s">
        <v>244</v>
      </c>
      <c r="K143" s="31" t="s">
        <v>73</v>
      </c>
      <c r="L143" s="33" t="s">
        <v>259</v>
      </c>
    </row>
    <row r="144" customFormat="false" ht="34.5" hidden="false" customHeight="true" outlineLevel="0" collapsed="false">
      <c r="A144" s="12" t="s">
        <v>238</v>
      </c>
      <c r="B144" s="13" t="s">
        <v>31</v>
      </c>
      <c r="C144" s="34" t="s">
        <v>373</v>
      </c>
      <c r="D144" s="35" t="s">
        <v>240</v>
      </c>
      <c r="E144" s="35" t="s">
        <v>241</v>
      </c>
      <c r="F144" s="35" t="s">
        <v>242</v>
      </c>
      <c r="G144" s="35" t="s">
        <v>77</v>
      </c>
      <c r="H144" s="36" t="s">
        <v>78</v>
      </c>
      <c r="I144" s="35" t="s">
        <v>243</v>
      </c>
      <c r="J144" s="35" t="s">
        <v>244</v>
      </c>
      <c r="K144" s="35" t="s">
        <v>73</v>
      </c>
      <c r="L144" s="37" t="s">
        <v>261</v>
      </c>
    </row>
    <row r="147" customFormat="false" ht="13.5" hidden="false" customHeight="true" outlineLevel="0" collapsed="false">
      <c r="A147" s="7" t="s">
        <v>45</v>
      </c>
      <c r="B147" s="8" t="s">
        <v>1</v>
      </c>
      <c r="C147" s="18" t="s">
        <v>49</v>
      </c>
      <c r="D147" s="19" t="s">
        <v>48</v>
      </c>
      <c r="E147" s="19" t="s">
        <v>50</v>
      </c>
      <c r="F147" s="19" t="s">
        <v>51</v>
      </c>
      <c r="G147" s="19" t="s">
        <v>52</v>
      </c>
      <c r="H147" s="20" t="s">
        <v>53</v>
      </c>
      <c r="I147" s="19" t="s">
        <v>54</v>
      </c>
      <c r="J147" s="19" t="s">
        <v>55</v>
      </c>
      <c r="K147" s="19" t="s">
        <v>56</v>
      </c>
      <c r="L147" s="19" t="s">
        <v>57</v>
      </c>
      <c r="M147" s="21" t="s">
        <v>58</v>
      </c>
    </row>
    <row r="148" customFormat="false" ht="34.5" hidden="false" customHeight="true" outlineLevel="0" collapsed="false">
      <c r="A148" s="12" t="s">
        <v>374</v>
      </c>
      <c r="B148" s="13" t="s">
        <v>28</v>
      </c>
      <c r="C148" s="38" t="s">
        <v>375</v>
      </c>
      <c r="D148" s="39" t="s">
        <v>376</v>
      </c>
      <c r="E148" s="39" t="s">
        <v>377</v>
      </c>
      <c r="F148" s="39" t="s">
        <v>137</v>
      </c>
      <c r="G148" s="39" t="s">
        <v>138</v>
      </c>
      <c r="H148" s="40"/>
      <c r="I148" s="39" t="s">
        <v>378</v>
      </c>
      <c r="J148" s="39" t="s">
        <v>379</v>
      </c>
      <c r="K148" s="39" t="s">
        <v>380</v>
      </c>
      <c r="L148" s="39" t="s">
        <v>77</v>
      </c>
      <c r="M148" s="41" t="s">
        <v>78</v>
      </c>
    </row>
    <row r="149" customFormat="false" ht="34.5" hidden="false" customHeight="true" outlineLevel="0" collapsed="false">
      <c r="A149" s="12" t="s">
        <v>374</v>
      </c>
      <c r="B149" s="13" t="s">
        <v>31</v>
      </c>
      <c r="C149" s="30" t="s">
        <v>381</v>
      </c>
      <c r="D149" s="31" t="s">
        <v>382</v>
      </c>
      <c r="E149" s="31" t="s">
        <v>383</v>
      </c>
      <c r="F149" s="31" t="s">
        <v>384</v>
      </c>
      <c r="G149" s="31" t="s">
        <v>385</v>
      </c>
      <c r="H149" s="32"/>
      <c r="I149" s="31" t="s">
        <v>386</v>
      </c>
      <c r="J149" s="31" t="s">
        <v>97</v>
      </c>
      <c r="K149" s="31" t="s">
        <v>387</v>
      </c>
      <c r="L149" s="31" t="s">
        <v>77</v>
      </c>
      <c r="M149" s="33" t="s">
        <v>78</v>
      </c>
    </row>
    <row r="150" customFormat="false" ht="34.5" hidden="false" customHeight="true" outlineLevel="0" collapsed="false">
      <c r="A150" s="12" t="s">
        <v>374</v>
      </c>
      <c r="B150" s="13" t="s">
        <v>36</v>
      </c>
      <c r="C150" s="38" t="s">
        <v>388</v>
      </c>
      <c r="D150" s="39" t="s">
        <v>389</v>
      </c>
      <c r="E150" s="39" t="s">
        <v>390</v>
      </c>
      <c r="F150" s="39" t="s">
        <v>391</v>
      </c>
      <c r="G150" s="39" t="s">
        <v>392</v>
      </c>
      <c r="H150" s="40"/>
      <c r="I150" s="39" t="s">
        <v>393</v>
      </c>
      <c r="J150" s="39" t="s">
        <v>379</v>
      </c>
      <c r="K150" s="39" t="s">
        <v>394</v>
      </c>
      <c r="L150" s="39" t="s">
        <v>77</v>
      </c>
      <c r="M150" s="41" t="s">
        <v>78</v>
      </c>
    </row>
    <row r="151" customFormat="false" ht="34.5" hidden="false" customHeight="true" outlineLevel="0" collapsed="false">
      <c r="A151" s="12" t="s">
        <v>374</v>
      </c>
      <c r="B151" s="13" t="s">
        <v>26</v>
      </c>
      <c r="C151" s="34" t="s">
        <v>395</v>
      </c>
      <c r="D151" s="35" t="s">
        <v>396</v>
      </c>
      <c r="E151" s="35" t="s">
        <v>70</v>
      </c>
      <c r="F151" s="35" t="s">
        <v>158</v>
      </c>
      <c r="G151" s="35" t="s">
        <v>397</v>
      </c>
      <c r="H151" s="36" t="s">
        <v>73</v>
      </c>
      <c r="I151" s="35" t="s">
        <v>398</v>
      </c>
      <c r="J151" s="35" t="s">
        <v>399</v>
      </c>
      <c r="K151" s="35" t="s">
        <v>400</v>
      </c>
      <c r="L151" s="35" t="s">
        <v>77</v>
      </c>
      <c r="M151" s="37" t="s">
        <v>78</v>
      </c>
    </row>
    <row r="154" customFormat="false" ht="21.75" hidden="false" customHeight="true" outlineLevel="0" collapsed="false">
      <c r="A154" s="7" t="s">
        <v>45</v>
      </c>
      <c r="B154" s="8" t="s">
        <v>1</v>
      </c>
      <c r="C154" s="18" t="s">
        <v>46</v>
      </c>
      <c r="D154" s="19" t="s">
        <v>47</v>
      </c>
      <c r="E154" s="19" t="s">
        <v>48</v>
      </c>
      <c r="F154" s="19" t="s">
        <v>49</v>
      </c>
      <c r="G154" s="19" t="s">
        <v>50</v>
      </c>
      <c r="H154" s="20" t="s">
        <v>51</v>
      </c>
      <c r="I154" s="19" t="s">
        <v>52</v>
      </c>
      <c r="J154" s="19" t="s">
        <v>53</v>
      </c>
      <c r="K154" s="19" t="s">
        <v>54</v>
      </c>
      <c r="L154" s="19" t="s">
        <v>55</v>
      </c>
      <c r="M154" s="19" t="s">
        <v>56</v>
      </c>
      <c r="N154" s="19" t="s">
        <v>57</v>
      </c>
      <c r="O154" s="19" t="s">
        <v>58</v>
      </c>
      <c r="P154" s="19" t="s">
        <v>401</v>
      </c>
      <c r="Q154" s="19" t="s">
        <v>402</v>
      </c>
      <c r="R154" s="21" t="s">
        <v>403</v>
      </c>
    </row>
    <row r="155" customFormat="false" ht="34.5" hidden="false" customHeight="true" outlineLevel="0" collapsed="false">
      <c r="A155" s="12" t="s">
        <v>404</v>
      </c>
      <c r="B155" s="13" t="s">
        <v>36</v>
      </c>
      <c r="C155" s="26" t="s">
        <v>405</v>
      </c>
      <c r="D155" s="27" t="s">
        <v>406</v>
      </c>
      <c r="E155" s="27" t="s">
        <v>407</v>
      </c>
      <c r="F155" s="27" t="s">
        <v>408</v>
      </c>
      <c r="G155" s="27" t="s">
        <v>70</v>
      </c>
      <c r="H155" s="28" t="s">
        <v>409</v>
      </c>
      <c r="I155" s="27" t="s">
        <v>410</v>
      </c>
      <c r="J155" s="27" t="s">
        <v>115</v>
      </c>
      <c r="K155" s="27" t="s">
        <v>187</v>
      </c>
      <c r="L155" s="27" t="s">
        <v>411</v>
      </c>
      <c r="M155" s="27" t="s">
        <v>412</v>
      </c>
      <c r="N155" s="27" t="s">
        <v>77</v>
      </c>
      <c r="O155" s="27" t="s">
        <v>78</v>
      </c>
      <c r="P155" s="42" t="n">
        <v>0</v>
      </c>
      <c r="Q155" s="42" t="n">
        <v>11382.28</v>
      </c>
      <c r="R155" s="43" t="n">
        <v>11382.28</v>
      </c>
    </row>
    <row r="156" customFormat="false" ht="13.5" hidden="false" customHeight="true" outlineLevel="0" collapsed="false"/>
  </sheetData>
  <autoFilter ref="C1:U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5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61" activeCellId="0" sqref="C161"/>
    </sheetView>
  </sheetViews>
  <sheetFormatPr defaultColWidth="11.53515625" defaultRowHeight="13.5" zeroHeight="false" outlineLevelRow="0" outlineLevelCol="0"/>
  <cols>
    <col collapsed="false" customWidth="true" hidden="false" outlineLevel="0" max="1" min="1" style="4" width="42.1"/>
    <col collapsed="false" customWidth="true" hidden="false" outlineLevel="0" max="2" min="2" style="4" width="22"/>
    <col collapsed="false" customWidth="true" hidden="false" outlineLevel="0" max="3" min="3" style="4" width="24.6"/>
    <col collapsed="false" customWidth="true" hidden="false" outlineLevel="0" max="4" min="4" style="4" width="19.04"/>
    <col collapsed="false" customWidth="true" hidden="false" outlineLevel="0" max="5" min="5" style="4" width="27.78"/>
    <col collapsed="false" customWidth="true" hidden="false" outlineLevel="0" max="6" min="6" style="4" width="15"/>
    <col collapsed="false" customWidth="true" hidden="false" outlineLevel="0" max="7" min="7" style="4" width="15.14"/>
    <col collapsed="false" customWidth="true" hidden="false" outlineLevel="0" max="8" min="8" style="4" width="33.62"/>
    <col collapsed="false" customWidth="true" hidden="false" outlineLevel="0" max="9" min="9" style="4" width="21.95"/>
    <col collapsed="false" customWidth="true" hidden="false" outlineLevel="0" max="10" min="10" style="4" width="17.36"/>
    <col collapsed="false" customWidth="true" hidden="false" outlineLevel="0" max="11" min="11" style="4" width="14.31"/>
    <col collapsed="false" customWidth="false" hidden="false" outlineLevel="0" max="1022" min="12" style="4" width="11.52"/>
    <col collapsed="false" customWidth="false" hidden="false" outlineLevel="0" max="1024" min="1023" style="44" width="11.52"/>
  </cols>
  <sheetData>
    <row r="2" customFormat="false" ht="34.5" hidden="false" customHeight="true" outlineLevel="0" collapsed="false">
      <c r="A2" s="7" t="s">
        <v>45</v>
      </c>
      <c r="B2" s="8" t="s">
        <v>1</v>
      </c>
      <c r="C2" s="45" t="s">
        <v>413</v>
      </c>
      <c r="D2" s="46" t="s">
        <v>414</v>
      </c>
      <c r="E2" s="46" t="s">
        <v>415</v>
      </c>
      <c r="F2" s="46" t="s">
        <v>416</v>
      </c>
      <c r="G2" s="46" t="s">
        <v>51</v>
      </c>
      <c r="H2" s="46" t="s">
        <v>417</v>
      </c>
      <c r="I2" s="46" t="s">
        <v>53</v>
      </c>
      <c r="J2" s="46" t="s">
        <v>418</v>
      </c>
      <c r="K2" s="47" t="s">
        <v>403</v>
      </c>
    </row>
    <row r="3" customFormat="false" ht="49.5" hidden="false" customHeight="true" outlineLevel="0" collapsed="false">
      <c r="A3" s="12" t="s">
        <v>419</v>
      </c>
      <c r="B3" s="13" t="s">
        <v>30</v>
      </c>
      <c r="C3" s="48" t="s">
        <v>420</v>
      </c>
      <c r="D3" s="49" t="s">
        <v>421</v>
      </c>
      <c r="E3" s="49" t="s">
        <v>422</v>
      </c>
      <c r="F3" s="49" t="s">
        <v>423</v>
      </c>
      <c r="G3" s="49" t="s">
        <v>424</v>
      </c>
      <c r="H3" s="49" t="s">
        <v>425</v>
      </c>
      <c r="I3" s="49" t="s">
        <v>115</v>
      </c>
      <c r="J3" s="49" t="s">
        <v>163</v>
      </c>
      <c r="K3" s="50" t="n">
        <v>2363.3</v>
      </c>
    </row>
    <row r="4" customFormat="false" ht="34.5" hidden="false" customHeight="true" outlineLevel="0" collapsed="false">
      <c r="A4" s="12" t="s">
        <v>419</v>
      </c>
      <c r="B4" s="13" t="s">
        <v>30</v>
      </c>
      <c r="C4" s="48" t="s">
        <v>426</v>
      </c>
      <c r="D4" s="49" t="s">
        <v>421</v>
      </c>
      <c r="E4" s="49" t="s">
        <v>427</v>
      </c>
      <c r="F4" s="49" t="s">
        <v>423</v>
      </c>
      <c r="G4" s="49" t="s">
        <v>424</v>
      </c>
      <c r="H4" s="49" t="s">
        <v>425</v>
      </c>
      <c r="I4" s="49" t="s">
        <v>115</v>
      </c>
      <c r="J4" s="49" t="s">
        <v>172</v>
      </c>
      <c r="K4" s="50" t="n">
        <v>2363.3</v>
      </c>
    </row>
    <row r="5" customFormat="false" ht="34.5" hidden="false" customHeight="true" outlineLevel="0" collapsed="false">
      <c r="A5" s="12" t="s">
        <v>419</v>
      </c>
      <c r="B5" s="13" t="s">
        <v>32</v>
      </c>
      <c r="C5" s="48" t="s">
        <v>428</v>
      </c>
      <c r="D5" s="49" t="s">
        <v>429</v>
      </c>
      <c r="E5" s="49" t="s">
        <v>430</v>
      </c>
      <c r="F5" s="49" t="s">
        <v>431</v>
      </c>
      <c r="G5" s="49" t="s">
        <v>432</v>
      </c>
      <c r="H5" s="49" t="s">
        <v>433</v>
      </c>
      <c r="I5" s="49" t="s">
        <v>115</v>
      </c>
      <c r="J5" s="49" t="s">
        <v>190</v>
      </c>
      <c r="K5" s="50" t="n">
        <v>340180.8</v>
      </c>
    </row>
    <row r="6" customFormat="false" ht="34.5" hidden="false" customHeight="true" outlineLevel="0" collapsed="false">
      <c r="A6" s="12" t="s">
        <v>419</v>
      </c>
      <c r="B6" s="13" t="s">
        <v>33</v>
      </c>
      <c r="C6" s="48" t="s">
        <v>434</v>
      </c>
      <c r="D6" s="49" t="s">
        <v>435</v>
      </c>
      <c r="E6" s="49" t="s">
        <v>436</v>
      </c>
      <c r="F6" s="49" t="s">
        <v>437</v>
      </c>
      <c r="G6" s="49" t="s">
        <v>438</v>
      </c>
      <c r="H6" s="49" t="s">
        <v>439</v>
      </c>
      <c r="I6" s="49" t="s">
        <v>115</v>
      </c>
      <c r="J6" s="49" t="s">
        <v>349</v>
      </c>
      <c r="K6" s="50" t="n">
        <v>1742.45</v>
      </c>
    </row>
    <row r="7" customFormat="false" ht="34.5" hidden="false" customHeight="true" outlineLevel="0" collapsed="false">
      <c r="A7" s="12" t="s">
        <v>419</v>
      </c>
      <c r="B7" s="13" t="s">
        <v>27</v>
      </c>
      <c r="C7" s="48" t="s">
        <v>440</v>
      </c>
      <c r="D7" s="49" t="s">
        <v>441</v>
      </c>
      <c r="E7" s="49" t="s">
        <v>442</v>
      </c>
      <c r="F7" s="49" t="s">
        <v>443</v>
      </c>
      <c r="G7" s="49" t="s">
        <v>444</v>
      </c>
      <c r="H7" s="49" t="s">
        <v>445</v>
      </c>
      <c r="I7" s="49" t="s">
        <v>115</v>
      </c>
      <c r="J7" s="49" t="s">
        <v>349</v>
      </c>
      <c r="K7" s="50" t="n">
        <v>26695</v>
      </c>
    </row>
    <row r="8" customFormat="false" ht="34.5" hidden="false" customHeight="true" outlineLevel="0" collapsed="false">
      <c r="A8" s="12" t="s">
        <v>419</v>
      </c>
      <c r="B8" s="13" t="s">
        <v>31</v>
      </c>
      <c r="C8" s="48" t="s">
        <v>446</v>
      </c>
      <c r="D8" s="49" t="s">
        <v>447</v>
      </c>
      <c r="E8" s="49" t="s">
        <v>448</v>
      </c>
      <c r="F8" s="49" t="s">
        <v>449</v>
      </c>
      <c r="G8" s="49" t="s">
        <v>450</v>
      </c>
      <c r="H8" s="49" t="s">
        <v>451</v>
      </c>
      <c r="I8" s="49" t="s">
        <v>452</v>
      </c>
      <c r="J8" s="49" t="s">
        <v>74</v>
      </c>
      <c r="K8" s="50" t="n">
        <v>22550</v>
      </c>
    </row>
    <row r="9" customFormat="false" ht="45.75" hidden="false" customHeight="true" outlineLevel="0" collapsed="false">
      <c r="A9" s="12" t="s">
        <v>419</v>
      </c>
      <c r="B9" s="13" t="s">
        <v>34</v>
      </c>
      <c r="C9" s="48" t="s">
        <v>453</v>
      </c>
      <c r="D9" s="49" t="s">
        <v>454</v>
      </c>
      <c r="E9" s="49" t="s">
        <v>455</v>
      </c>
      <c r="F9" s="49" t="s">
        <v>456</v>
      </c>
      <c r="G9" s="49" t="s">
        <v>457</v>
      </c>
      <c r="H9" s="49" t="s">
        <v>458</v>
      </c>
      <c r="I9" s="49" t="s">
        <v>142</v>
      </c>
      <c r="J9" s="49" t="s">
        <v>192</v>
      </c>
      <c r="K9" s="50" t="n">
        <v>75824.68</v>
      </c>
    </row>
    <row r="10" customFormat="false" ht="34.5" hidden="false" customHeight="true" outlineLevel="0" collapsed="false">
      <c r="A10" s="12" t="s">
        <v>419</v>
      </c>
      <c r="B10" s="13" t="s">
        <v>32</v>
      </c>
      <c r="C10" s="51" t="s">
        <v>459</v>
      </c>
      <c r="D10" s="52" t="s">
        <v>460</v>
      </c>
      <c r="E10" s="52" t="s">
        <v>461</v>
      </c>
      <c r="F10" s="52" t="s">
        <v>462</v>
      </c>
      <c r="G10" s="52" t="s">
        <v>463</v>
      </c>
      <c r="H10" s="52" t="s">
        <v>464</v>
      </c>
      <c r="I10" s="52" t="s">
        <v>73</v>
      </c>
      <c r="J10" s="52" t="s">
        <v>151</v>
      </c>
      <c r="K10" s="53" t="n">
        <v>9900</v>
      </c>
    </row>
    <row r="14" customFormat="false" ht="34.5" hidden="false" customHeight="true" outlineLevel="0" collapsed="false">
      <c r="A14" s="7" t="s">
        <v>45</v>
      </c>
      <c r="B14" s="8" t="s">
        <v>1</v>
      </c>
      <c r="C14" s="45" t="s">
        <v>415</v>
      </c>
      <c r="D14" s="46" t="s">
        <v>416</v>
      </c>
      <c r="E14" s="46" t="s">
        <v>51</v>
      </c>
      <c r="F14" s="46" t="s">
        <v>417</v>
      </c>
      <c r="G14" s="46" t="s">
        <v>53</v>
      </c>
      <c r="H14" s="46" t="s">
        <v>418</v>
      </c>
      <c r="I14" s="46" t="s">
        <v>47</v>
      </c>
      <c r="J14" s="47" t="s">
        <v>465</v>
      </c>
      <c r="K14" s="54"/>
    </row>
    <row r="15" customFormat="false" ht="45.75" hidden="false" customHeight="true" outlineLevel="0" collapsed="false">
      <c r="A15" s="12" t="s">
        <v>466</v>
      </c>
      <c r="B15" s="13" t="s">
        <v>36</v>
      </c>
      <c r="C15" s="48" t="s">
        <v>467</v>
      </c>
      <c r="D15" s="49" t="s">
        <v>468</v>
      </c>
      <c r="E15" s="49" t="s">
        <v>469</v>
      </c>
      <c r="F15" s="49" t="s">
        <v>470</v>
      </c>
      <c r="G15" s="49" t="s">
        <v>115</v>
      </c>
      <c r="H15" s="49" t="s">
        <v>172</v>
      </c>
      <c r="I15" s="49"/>
      <c r="J15" s="50"/>
      <c r="K15" s="55"/>
    </row>
    <row r="16" customFormat="false" ht="45.75" hidden="false" customHeight="true" outlineLevel="0" collapsed="false">
      <c r="A16" s="12" t="s">
        <v>466</v>
      </c>
      <c r="B16" s="13" t="s">
        <v>35</v>
      </c>
      <c r="C16" s="48" t="s">
        <v>471</v>
      </c>
      <c r="D16" s="49" t="s">
        <v>472</v>
      </c>
      <c r="E16" s="49" t="s">
        <v>473</v>
      </c>
      <c r="F16" s="49" t="s">
        <v>474</v>
      </c>
      <c r="G16" s="49" t="s">
        <v>73</v>
      </c>
      <c r="H16" s="49" t="s">
        <v>475</v>
      </c>
      <c r="I16" s="49"/>
      <c r="J16" s="50"/>
      <c r="K16" s="55"/>
    </row>
    <row r="17" customFormat="false" ht="45.75" hidden="false" customHeight="true" outlineLevel="0" collapsed="false">
      <c r="A17" s="12" t="s">
        <v>466</v>
      </c>
      <c r="B17" s="13" t="s">
        <v>35</v>
      </c>
      <c r="C17" s="48" t="s">
        <v>476</v>
      </c>
      <c r="D17" s="49" t="s">
        <v>472</v>
      </c>
      <c r="E17" s="49" t="s">
        <v>473</v>
      </c>
      <c r="F17" s="49" t="s">
        <v>474</v>
      </c>
      <c r="G17" s="49" t="s">
        <v>73</v>
      </c>
      <c r="H17" s="49" t="s">
        <v>477</v>
      </c>
      <c r="I17" s="49"/>
      <c r="J17" s="50"/>
      <c r="K17" s="55"/>
    </row>
    <row r="18" customFormat="false" ht="45.75" hidden="false" customHeight="true" outlineLevel="0" collapsed="false">
      <c r="A18" s="12" t="s">
        <v>466</v>
      </c>
      <c r="B18" s="13" t="s">
        <v>35</v>
      </c>
      <c r="C18" s="48" t="s">
        <v>478</v>
      </c>
      <c r="D18" s="49" t="s">
        <v>472</v>
      </c>
      <c r="E18" s="49" t="s">
        <v>473</v>
      </c>
      <c r="F18" s="49" t="s">
        <v>474</v>
      </c>
      <c r="G18" s="49" t="s">
        <v>73</v>
      </c>
      <c r="H18" s="49" t="s">
        <v>479</v>
      </c>
      <c r="I18" s="49"/>
      <c r="J18" s="50"/>
      <c r="K18" s="55"/>
    </row>
    <row r="19" customFormat="false" ht="45.75" hidden="false" customHeight="true" outlineLevel="0" collapsed="false">
      <c r="A19" s="12" t="s">
        <v>466</v>
      </c>
      <c r="B19" s="13" t="s">
        <v>35</v>
      </c>
      <c r="C19" s="48" t="s">
        <v>480</v>
      </c>
      <c r="D19" s="49" t="s">
        <v>472</v>
      </c>
      <c r="E19" s="49" t="s">
        <v>473</v>
      </c>
      <c r="F19" s="49" t="s">
        <v>474</v>
      </c>
      <c r="G19" s="49" t="s">
        <v>73</v>
      </c>
      <c r="H19" s="49" t="s">
        <v>170</v>
      </c>
      <c r="I19" s="49"/>
      <c r="J19" s="50"/>
      <c r="K19" s="55"/>
    </row>
    <row r="20" customFormat="false" ht="45.75" hidden="false" customHeight="true" outlineLevel="0" collapsed="false">
      <c r="A20" s="12" t="s">
        <v>466</v>
      </c>
      <c r="B20" s="13" t="s">
        <v>35</v>
      </c>
      <c r="C20" s="48" t="s">
        <v>481</v>
      </c>
      <c r="D20" s="49" t="s">
        <v>472</v>
      </c>
      <c r="E20" s="49" t="s">
        <v>473</v>
      </c>
      <c r="F20" s="49" t="s">
        <v>474</v>
      </c>
      <c r="G20" s="49" t="s">
        <v>73</v>
      </c>
      <c r="H20" s="49" t="s">
        <v>86</v>
      </c>
      <c r="I20" s="49"/>
      <c r="J20" s="50"/>
      <c r="K20" s="55"/>
    </row>
    <row r="21" customFormat="false" ht="45.75" hidden="false" customHeight="true" outlineLevel="0" collapsed="false">
      <c r="A21" s="12" t="s">
        <v>466</v>
      </c>
      <c r="B21" s="13" t="s">
        <v>35</v>
      </c>
      <c r="C21" s="48" t="s">
        <v>482</v>
      </c>
      <c r="D21" s="49" t="s">
        <v>472</v>
      </c>
      <c r="E21" s="49" t="s">
        <v>473</v>
      </c>
      <c r="F21" s="49" t="s">
        <v>474</v>
      </c>
      <c r="G21" s="49" t="s">
        <v>73</v>
      </c>
      <c r="H21" s="49" t="s">
        <v>90</v>
      </c>
      <c r="I21" s="49"/>
      <c r="J21" s="50"/>
      <c r="K21" s="55"/>
    </row>
    <row r="22" customFormat="false" ht="45.75" hidden="false" customHeight="true" outlineLevel="0" collapsed="false">
      <c r="A22" s="12" t="s">
        <v>466</v>
      </c>
      <c r="B22" s="13" t="s">
        <v>35</v>
      </c>
      <c r="C22" s="48" t="s">
        <v>483</v>
      </c>
      <c r="D22" s="49" t="s">
        <v>472</v>
      </c>
      <c r="E22" s="49" t="s">
        <v>473</v>
      </c>
      <c r="F22" s="49" t="s">
        <v>474</v>
      </c>
      <c r="G22" s="49" t="s">
        <v>73</v>
      </c>
      <c r="H22" s="49" t="s">
        <v>309</v>
      </c>
      <c r="I22" s="49"/>
      <c r="J22" s="50"/>
      <c r="K22" s="55"/>
    </row>
    <row r="23" customFormat="false" ht="45.75" hidden="false" customHeight="true" outlineLevel="0" collapsed="false">
      <c r="A23" s="12" t="s">
        <v>466</v>
      </c>
      <c r="B23" s="13" t="s">
        <v>35</v>
      </c>
      <c r="C23" s="48" t="s">
        <v>484</v>
      </c>
      <c r="D23" s="49" t="s">
        <v>472</v>
      </c>
      <c r="E23" s="49" t="s">
        <v>473</v>
      </c>
      <c r="F23" s="49" t="s">
        <v>474</v>
      </c>
      <c r="G23" s="49" t="s">
        <v>115</v>
      </c>
      <c r="H23" s="49" t="s">
        <v>345</v>
      </c>
      <c r="I23" s="49"/>
      <c r="J23" s="50"/>
      <c r="K23" s="55"/>
    </row>
    <row r="24" customFormat="false" ht="45.75" hidden="false" customHeight="true" outlineLevel="0" collapsed="false">
      <c r="A24" s="12" t="s">
        <v>466</v>
      </c>
      <c r="B24" s="13" t="s">
        <v>35</v>
      </c>
      <c r="C24" s="48" t="s">
        <v>485</v>
      </c>
      <c r="D24" s="49" t="s">
        <v>472</v>
      </c>
      <c r="E24" s="49" t="s">
        <v>473</v>
      </c>
      <c r="F24" s="49" t="s">
        <v>474</v>
      </c>
      <c r="G24" s="49" t="s">
        <v>115</v>
      </c>
      <c r="H24" s="49" t="s">
        <v>163</v>
      </c>
      <c r="I24" s="49"/>
      <c r="J24" s="50"/>
      <c r="K24" s="55"/>
    </row>
    <row r="25" customFormat="false" ht="45.75" hidden="false" customHeight="true" outlineLevel="0" collapsed="false">
      <c r="A25" s="12" t="s">
        <v>466</v>
      </c>
      <c r="B25" s="13" t="s">
        <v>35</v>
      </c>
      <c r="C25" s="48" t="s">
        <v>486</v>
      </c>
      <c r="D25" s="49" t="s">
        <v>472</v>
      </c>
      <c r="E25" s="49" t="s">
        <v>473</v>
      </c>
      <c r="F25" s="49" t="s">
        <v>474</v>
      </c>
      <c r="G25" s="49" t="s">
        <v>115</v>
      </c>
      <c r="H25" s="49" t="s">
        <v>172</v>
      </c>
      <c r="I25" s="49"/>
      <c r="J25" s="50"/>
      <c r="K25" s="55"/>
    </row>
    <row r="26" customFormat="false" ht="45.75" hidden="false" customHeight="true" outlineLevel="0" collapsed="false">
      <c r="A26" s="12" t="s">
        <v>466</v>
      </c>
      <c r="B26" s="13" t="s">
        <v>35</v>
      </c>
      <c r="C26" s="48" t="s">
        <v>487</v>
      </c>
      <c r="D26" s="49" t="s">
        <v>472</v>
      </c>
      <c r="E26" s="49" t="s">
        <v>473</v>
      </c>
      <c r="F26" s="49" t="s">
        <v>474</v>
      </c>
      <c r="G26" s="49" t="s">
        <v>107</v>
      </c>
      <c r="H26" s="49" t="s">
        <v>175</v>
      </c>
      <c r="I26" s="49"/>
      <c r="J26" s="50"/>
      <c r="K26" s="55"/>
    </row>
    <row r="27" customFormat="false" ht="45.75" hidden="false" customHeight="true" outlineLevel="0" collapsed="false">
      <c r="A27" s="12" t="s">
        <v>466</v>
      </c>
      <c r="B27" s="13" t="s">
        <v>37</v>
      </c>
      <c r="C27" s="48" t="s">
        <v>488</v>
      </c>
      <c r="D27" s="49" t="s">
        <v>489</v>
      </c>
      <c r="E27" s="49" t="s">
        <v>490</v>
      </c>
      <c r="F27" s="49" t="s">
        <v>491</v>
      </c>
      <c r="G27" s="49" t="s">
        <v>73</v>
      </c>
      <c r="H27" s="49" t="s">
        <v>101</v>
      </c>
      <c r="I27" s="49"/>
      <c r="J27" s="50"/>
      <c r="K27" s="55"/>
    </row>
    <row r="28" customFormat="false" ht="45.75" hidden="false" customHeight="true" outlineLevel="0" collapsed="false">
      <c r="A28" s="12" t="s">
        <v>466</v>
      </c>
      <c r="B28" s="13" t="s">
        <v>37</v>
      </c>
      <c r="C28" s="48" t="s">
        <v>492</v>
      </c>
      <c r="D28" s="49" t="s">
        <v>489</v>
      </c>
      <c r="E28" s="49" t="s">
        <v>490</v>
      </c>
      <c r="F28" s="49" t="s">
        <v>491</v>
      </c>
      <c r="G28" s="49" t="s">
        <v>115</v>
      </c>
      <c r="H28" s="49" t="s">
        <v>132</v>
      </c>
      <c r="I28" s="49"/>
      <c r="J28" s="50"/>
      <c r="K28" s="55"/>
    </row>
    <row r="29" customFormat="false" ht="45.75" hidden="false" customHeight="true" outlineLevel="0" collapsed="false">
      <c r="A29" s="12" t="s">
        <v>466</v>
      </c>
      <c r="B29" s="13" t="s">
        <v>36</v>
      </c>
      <c r="C29" s="48" t="s">
        <v>493</v>
      </c>
      <c r="D29" s="49" t="s">
        <v>494</v>
      </c>
      <c r="E29" s="49" t="s">
        <v>495</v>
      </c>
      <c r="F29" s="49" t="s">
        <v>496</v>
      </c>
      <c r="G29" s="49" t="s">
        <v>107</v>
      </c>
      <c r="H29" s="49" t="s">
        <v>245</v>
      </c>
      <c r="I29" s="49"/>
      <c r="J29" s="50"/>
      <c r="K29" s="55"/>
    </row>
    <row r="30" customFormat="false" ht="45.75" hidden="false" customHeight="true" outlineLevel="0" collapsed="false">
      <c r="A30" s="12" t="s">
        <v>466</v>
      </c>
      <c r="B30" s="13" t="s">
        <v>36</v>
      </c>
      <c r="C30" s="51" t="s">
        <v>497</v>
      </c>
      <c r="D30" s="52" t="s">
        <v>494</v>
      </c>
      <c r="E30" s="52" t="s">
        <v>495</v>
      </c>
      <c r="F30" s="52" t="s">
        <v>496</v>
      </c>
      <c r="G30" s="52" t="s">
        <v>115</v>
      </c>
      <c r="H30" s="52" t="s">
        <v>247</v>
      </c>
      <c r="I30" s="52"/>
      <c r="J30" s="53"/>
      <c r="K30" s="55"/>
    </row>
    <row r="33" customFormat="false" ht="42" hidden="false" customHeight="true" outlineLevel="0" collapsed="false">
      <c r="A33" s="7" t="s">
        <v>45</v>
      </c>
      <c r="B33" s="8" t="s">
        <v>1</v>
      </c>
      <c r="C33" s="45" t="s">
        <v>51</v>
      </c>
      <c r="D33" s="46" t="s">
        <v>498</v>
      </c>
      <c r="E33" s="46" t="s">
        <v>417</v>
      </c>
      <c r="F33" s="46" t="s">
        <v>53</v>
      </c>
      <c r="G33" s="46" t="s">
        <v>418</v>
      </c>
      <c r="H33" s="54"/>
      <c r="I33" s="54"/>
    </row>
    <row r="34" customFormat="false" ht="34.5" hidden="false" customHeight="true" outlineLevel="0" collapsed="false">
      <c r="A34" s="12" t="s">
        <v>499</v>
      </c>
      <c r="B34" s="13" t="s">
        <v>28</v>
      </c>
      <c r="C34" s="48" t="s">
        <v>500</v>
      </c>
      <c r="D34" s="49"/>
      <c r="E34" s="49" t="s">
        <v>501</v>
      </c>
      <c r="F34" s="49" t="s">
        <v>73</v>
      </c>
      <c r="G34" s="49" t="s">
        <v>475</v>
      </c>
      <c r="H34" s="56"/>
      <c r="I34" s="56"/>
    </row>
    <row r="35" customFormat="false" ht="34.5" hidden="false" customHeight="true" outlineLevel="0" collapsed="false">
      <c r="A35" s="12" t="s">
        <v>499</v>
      </c>
      <c r="B35" s="13" t="s">
        <v>28</v>
      </c>
      <c r="C35" s="48" t="s">
        <v>502</v>
      </c>
      <c r="D35" s="49"/>
      <c r="E35" s="49" t="s">
        <v>503</v>
      </c>
      <c r="F35" s="49" t="s">
        <v>73</v>
      </c>
      <c r="G35" s="49" t="s">
        <v>475</v>
      </c>
      <c r="H35" s="56"/>
      <c r="I35" s="56"/>
    </row>
    <row r="36" customFormat="false" ht="34.5" hidden="false" customHeight="true" outlineLevel="0" collapsed="false">
      <c r="A36" s="12" t="s">
        <v>499</v>
      </c>
      <c r="B36" s="13" t="s">
        <v>29</v>
      </c>
      <c r="C36" s="48" t="s">
        <v>504</v>
      </c>
      <c r="D36" s="49" t="s">
        <v>505</v>
      </c>
      <c r="E36" s="49" t="s">
        <v>506</v>
      </c>
      <c r="F36" s="49" t="s">
        <v>73</v>
      </c>
      <c r="G36" s="49" t="s">
        <v>475</v>
      </c>
      <c r="H36" s="56"/>
      <c r="I36" s="56"/>
    </row>
    <row r="37" customFormat="false" ht="34.5" hidden="false" customHeight="true" outlineLevel="0" collapsed="false">
      <c r="A37" s="12" t="s">
        <v>499</v>
      </c>
      <c r="B37" s="13" t="s">
        <v>31</v>
      </c>
      <c r="C37" s="48" t="s">
        <v>507</v>
      </c>
      <c r="D37" s="49"/>
      <c r="E37" s="49" t="s">
        <v>508</v>
      </c>
      <c r="F37" s="49" t="s">
        <v>73</v>
      </c>
      <c r="G37" s="49" t="s">
        <v>475</v>
      </c>
      <c r="H37" s="56"/>
      <c r="I37" s="56"/>
    </row>
    <row r="38" customFormat="false" ht="45.75" hidden="false" customHeight="true" outlineLevel="0" collapsed="false">
      <c r="A38" s="12" t="s">
        <v>499</v>
      </c>
      <c r="B38" s="13" t="s">
        <v>35</v>
      </c>
      <c r="C38" s="48" t="s">
        <v>509</v>
      </c>
      <c r="D38" s="49"/>
      <c r="E38" s="49" t="s">
        <v>510</v>
      </c>
      <c r="F38" s="49" t="s">
        <v>73</v>
      </c>
      <c r="G38" s="49" t="s">
        <v>475</v>
      </c>
      <c r="H38" s="56"/>
      <c r="I38" s="56"/>
    </row>
    <row r="39" customFormat="false" ht="34.5" hidden="false" customHeight="true" outlineLevel="0" collapsed="false">
      <c r="A39" s="12" t="s">
        <v>499</v>
      </c>
      <c r="B39" s="13" t="s">
        <v>37</v>
      </c>
      <c r="C39" s="48" t="s">
        <v>511</v>
      </c>
      <c r="D39" s="49" t="s">
        <v>512</v>
      </c>
      <c r="E39" s="49" t="s">
        <v>513</v>
      </c>
      <c r="F39" s="49" t="s">
        <v>73</v>
      </c>
      <c r="G39" s="49" t="s">
        <v>475</v>
      </c>
      <c r="H39" s="56"/>
      <c r="I39" s="56"/>
    </row>
    <row r="40" customFormat="false" ht="34.5" hidden="false" customHeight="true" outlineLevel="0" collapsed="false">
      <c r="A40" s="12" t="s">
        <v>499</v>
      </c>
      <c r="B40" s="13" t="s">
        <v>36</v>
      </c>
      <c r="C40" s="48" t="s">
        <v>514</v>
      </c>
      <c r="D40" s="49"/>
      <c r="E40" s="49" t="s">
        <v>515</v>
      </c>
      <c r="F40" s="49" t="s">
        <v>73</v>
      </c>
      <c r="G40" s="49" t="s">
        <v>345</v>
      </c>
      <c r="H40" s="56"/>
      <c r="I40" s="56"/>
    </row>
    <row r="41" customFormat="false" ht="34.5" hidden="false" customHeight="true" outlineLevel="0" collapsed="false">
      <c r="A41" s="12" t="s">
        <v>499</v>
      </c>
      <c r="B41" s="13" t="s">
        <v>28</v>
      </c>
      <c r="C41" s="48" t="s">
        <v>500</v>
      </c>
      <c r="D41" s="49"/>
      <c r="E41" s="49" t="s">
        <v>501</v>
      </c>
      <c r="F41" s="49" t="s">
        <v>73</v>
      </c>
      <c r="G41" s="49" t="s">
        <v>477</v>
      </c>
      <c r="H41" s="56"/>
      <c r="I41" s="56"/>
    </row>
    <row r="42" customFormat="false" ht="34.5" hidden="false" customHeight="true" outlineLevel="0" collapsed="false">
      <c r="A42" s="12" t="s">
        <v>499</v>
      </c>
      <c r="B42" s="13" t="s">
        <v>28</v>
      </c>
      <c r="C42" s="48" t="s">
        <v>502</v>
      </c>
      <c r="D42" s="49"/>
      <c r="E42" s="49" t="s">
        <v>503</v>
      </c>
      <c r="F42" s="49" t="s">
        <v>73</v>
      </c>
      <c r="G42" s="49" t="s">
        <v>477</v>
      </c>
      <c r="H42" s="56"/>
      <c r="I42" s="56"/>
    </row>
    <row r="43" customFormat="false" ht="34.5" hidden="false" customHeight="true" outlineLevel="0" collapsed="false">
      <c r="A43" s="12" t="s">
        <v>499</v>
      </c>
      <c r="B43" s="13" t="s">
        <v>29</v>
      </c>
      <c r="C43" s="48" t="s">
        <v>504</v>
      </c>
      <c r="D43" s="49" t="s">
        <v>505</v>
      </c>
      <c r="E43" s="49" t="s">
        <v>506</v>
      </c>
      <c r="F43" s="49" t="s">
        <v>73</v>
      </c>
      <c r="G43" s="49" t="s">
        <v>477</v>
      </c>
      <c r="H43" s="56"/>
      <c r="I43" s="56"/>
    </row>
    <row r="44" customFormat="false" ht="34.5" hidden="false" customHeight="true" outlineLevel="0" collapsed="false">
      <c r="A44" s="12" t="s">
        <v>499</v>
      </c>
      <c r="B44" s="13" t="s">
        <v>31</v>
      </c>
      <c r="C44" s="48" t="s">
        <v>507</v>
      </c>
      <c r="D44" s="49"/>
      <c r="E44" s="49" t="s">
        <v>508</v>
      </c>
      <c r="F44" s="49" t="s">
        <v>73</v>
      </c>
      <c r="G44" s="49" t="s">
        <v>477</v>
      </c>
      <c r="H44" s="56"/>
      <c r="I44" s="56"/>
    </row>
    <row r="45" customFormat="false" ht="45.75" hidden="false" customHeight="true" outlineLevel="0" collapsed="false">
      <c r="A45" s="12" t="s">
        <v>499</v>
      </c>
      <c r="B45" s="13" t="s">
        <v>35</v>
      </c>
      <c r="C45" s="48" t="s">
        <v>509</v>
      </c>
      <c r="D45" s="49"/>
      <c r="E45" s="49" t="s">
        <v>510</v>
      </c>
      <c r="F45" s="49" t="s">
        <v>73</v>
      </c>
      <c r="G45" s="49" t="s">
        <v>477</v>
      </c>
      <c r="H45" s="56"/>
      <c r="I45" s="56"/>
    </row>
    <row r="46" customFormat="false" ht="34.5" hidden="false" customHeight="true" outlineLevel="0" collapsed="false">
      <c r="A46" s="12" t="s">
        <v>499</v>
      </c>
      <c r="B46" s="13" t="s">
        <v>28</v>
      </c>
      <c r="C46" s="48" t="s">
        <v>500</v>
      </c>
      <c r="D46" s="49"/>
      <c r="E46" s="49" t="s">
        <v>501</v>
      </c>
      <c r="F46" s="49" t="s">
        <v>73</v>
      </c>
      <c r="G46" s="49" t="s">
        <v>479</v>
      </c>
      <c r="H46" s="56"/>
      <c r="I46" s="56"/>
    </row>
    <row r="47" customFormat="false" ht="34.5" hidden="false" customHeight="true" outlineLevel="0" collapsed="false">
      <c r="A47" s="12" t="s">
        <v>499</v>
      </c>
      <c r="B47" s="13" t="s">
        <v>28</v>
      </c>
      <c r="C47" s="48" t="s">
        <v>502</v>
      </c>
      <c r="D47" s="49"/>
      <c r="E47" s="49" t="s">
        <v>503</v>
      </c>
      <c r="F47" s="49" t="s">
        <v>73</v>
      </c>
      <c r="G47" s="49" t="s">
        <v>479</v>
      </c>
      <c r="H47" s="56"/>
      <c r="I47" s="56"/>
    </row>
    <row r="48" customFormat="false" ht="34.5" hidden="false" customHeight="true" outlineLevel="0" collapsed="false">
      <c r="A48" s="12" t="s">
        <v>499</v>
      </c>
      <c r="B48" s="13" t="s">
        <v>31</v>
      </c>
      <c r="C48" s="48" t="s">
        <v>507</v>
      </c>
      <c r="D48" s="49"/>
      <c r="E48" s="49" t="s">
        <v>508</v>
      </c>
      <c r="F48" s="49" t="s">
        <v>73</v>
      </c>
      <c r="G48" s="49" t="s">
        <v>479</v>
      </c>
      <c r="H48" s="56"/>
      <c r="I48" s="56"/>
    </row>
    <row r="49" customFormat="false" ht="45.75" hidden="false" customHeight="true" outlineLevel="0" collapsed="false">
      <c r="A49" s="12" t="s">
        <v>499</v>
      </c>
      <c r="B49" s="13" t="s">
        <v>35</v>
      </c>
      <c r="C49" s="48" t="s">
        <v>509</v>
      </c>
      <c r="D49" s="49"/>
      <c r="E49" s="49" t="s">
        <v>510</v>
      </c>
      <c r="F49" s="49" t="s">
        <v>73</v>
      </c>
      <c r="G49" s="49" t="s">
        <v>479</v>
      </c>
      <c r="H49" s="56"/>
      <c r="I49" s="56"/>
    </row>
    <row r="50" customFormat="false" ht="34.5" hidden="false" customHeight="true" outlineLevel="0" collapsed="false">
      <c r="A50" s="12" t="s">
        <v>499</v>
      </c>
      <c r="B50" s="13" t="s">
        <v>28</v>
      </c>
      <c r="C50" s="48" t="s">
        <v>500</v>
      </c>
      <c r="D50" s="49"/>
      <c r="E50" s="49" t="s">
        <v>501</v>
      </c>
      <c r="F50" s="49" t="s">
        <v>73</v>
      </c>
      <c r="G50" s="49" t="s">
        <v>170</v>
      </c>
      <c r="H50" s="56"/>
      <c r="I50" s="56"/>
    </row>
    <row r="51" customFormat="false" ht="34.5" hidden="false" customHeight="true" outlineLevel="0" collapsed="false">
      <c r="A51" s="12" t="s">
        <v>499</v>
      </c>
      <c r="B51" s="13" t="s">
        <v>28</v>
      </c>
      <c r="C51" s="48" t="s">
        <v>502</v>
      </c>
      <c r="D51" s="49"/>
      <c r="E51" s="49" t="s">
        <v>503</v>
      </c>
      <c r="F51" s="49" t="s">
        <v>73</v>
      </c>
      <c r="G51" s="49" t="s">
        <v>170</v>
      </c>
      <c r="H51" s="56"/>
      <c r="I51" s="56"/>
    </row>
    <row r="52" customFormat="false" ht="34.5" hidden="false" customHeight="true" outlineLevel="0" collapsed="false">
      <c r="A52" s="12" t="s">
        <v>499</v>
      </c>
      <c r="B52" s="13" t="s">
        <v>30</v>
      </c>
      <c r="C52" s="48" t="s">
        <v>516</v>
      </c>
      <c r="D52" s="49"/>
      <c r="E52" s="49" t="s">
        <v>517</v>
      </c>
      <c r="F52" s="49" t="s">
        <v>73</v>
      </c>
      <c r="G52" s="49" t="s">
        <v>170</v>
      </c>
      <c r="H52" s="56"/>
      <c r="I52" s="56"/>
    </row>
    <row r="53" customFormat="false" ht="34.5" hidden="false" customHeight="true" outlineLevel="0" collapsed="false">
      <c r="A53" s="12" t="s">
        <v>499</v>
      </c>
      <c r="B53" s="13" t="s">
        <v>31</v>
      </c>
      <c r="C53" s="48" t="s">
        <v>507</v>
      </c>
      <c r="D53" s="49"/>
      <c r="E53" s="49" t="s">
        <v>508</v>
      </c>
      <c r="F53" s="49" t="s">
        <v>73</v>
      </c>
      <c r="G53" s="49" t="s">
        <v>170</v>
      </c>
      <c r="H53" s="56"/>
      <c r="I53" s="56"/>
    </row>
    <row r="54" customFormat="false" ht="45.75" hidden="false" customHeight="true" outlineLevel="0" collapsed="false">
      <c r="A54" s="12" t="s">
        <v>499</v>
      </c>
      <c r="B54" s="13" t="s">
        <v>35</v>
      </c>
      <c r="C54" s="48" t="s">
        <v>509</v>
      </c>
      <c r="D54" s="49"/>
      <c r="E54" s="49" t="s">
        <v>510</v>
      </c>
      <c r="F54" s="49" t="s">
        <v>73</v>
      </c>
      <c r="G54" s="49" t="s">
        <v>170</v>
      </c>
      <c r="H54" s="56"/>
      <c r="I54" s="56"/>
    </row>
    <row r="55" customFormat="false" ht="34.5" hidden="false" customHeight="true" outlineLevel="0" collapsed="false">
      <c r="A55" s="12" t="s">
        <v>499</v>
      </c>
      <c r="B55" s="13" t="s">
        <v>36</v>
      </c>
      <c r="C55" s="48" t="s">
        <v>514</v>
      </c>
      <c r="D55" s="49"/>
      <c r="E55" s="49" t="s">
        <v>515</v>
      </c>
      <c r="F55" s="49" t="s">
        <v>73</v>
      </c>
      <c r="G55" s="49" t="s">
        <v>163</v>
      </c>
      <c r="H55" s="56"/>
      <c r="I55" s="56"/>
    </row>
    <row r="56" customFormat="false" ht="34.5" hidden="false" customHeight="true" outlineLevel="0" collapsed="false">
      <c r="A56" s="12" t="s">
        <v>499</v>
      </c>
      <c r="B56" s="13" t="s">
        <v>28</v>
      </c>
      <c r="C56" s="48" t="s">
        <v>500</v>
      </c>
      <c r="D56" s="49"/>
      <c r="E56" s="49" t="s">
        <v>501</v>
      </c>
      <c r="F56" s="49" t="s">
        <v>73</v>
      </c>
      <c r="G56" s="49" t="s">
        <v>86</v>
      </c>
      <c r="H56" s="56"/>
      <c r="I56" s="56"/>
    </row>
    <row r="57" customFormat="false" ht="34.5" hidden="false" customHeight="true" outlineLevel="0" collapsed="false">
      <c r="A57" s="12" t="s">
        <v>499</v>
      </c>
      <c r="B57" s="13" t="s">
        <v>28</v>
      </c>
      <c r="C57" s="48" t="s">
        <v>502</v>
      </c>
      <c r="D57" s="49"/>
      <c r="E57" s="49" t="s">
        <v>503</v>
      </c>
      <c r="F57" s="49" t="s">
        <v>73</v>
      </c>
      <c r="G57" s="49" t="s">
        <v>86</v>
      </c>
      <c r="H57" s="56"/>
      <c r="I57" s="56"/>
    </row>
    <row r="58" customFormat="false" ht="34.5" hidden="false" customHeight="true" outlineLevel="0" collapsed="false">
      <c r="A58" s="12" t="s">
        <v>499</v>
      </c>
      <c r="B58" s="13" t="s">
        <v>31</v>
      </c>
      <c r="C58" s="48" t="s">
        <v>507</v>
      </c>
      <c r="D58" s="49"/>
      <c r="E58" s="49" t="s">
        <v>508</v>
      </c>
      <c r="F58" s="49" t="s">
        <v>73</v>
      </c>
      <c r="G58" s="49" t="s">
        <v>86</v>
      </c>
      <c r="H58" s="56"/>
      <c r="I58" s="56"/>
    </row>
    <row r="59" customFormat="false" ht="34.5" hidden="false" customHeight="true" outlineLevel="0" collapsed="false">
      <c r="A59" s="12" t="s">
        <v>499</v>
      </c>
      <c r="B59" s="13" t="s">
        <v>32</v>
      </c>
      <c r="C59" s="48" t="s">
        <v>518</v>
      </c>
      <c r="D59" s="49"/>
      <c r="E59" s="49" t="s">
        <v>519</v>
      </c>
      <c r="F59" s="49" t="s">
        <v>73</v>
      </c>
      <c r="G59" s="49" t="s">
        <v>86</v>
      </c>
      <c r="H59" s="56"/>
      <c r="I59" s="56"/>
    </row>
    <row r="60" customFormat="false" ht="34.5" hidden="false" customHeight="true" outlineLevel="0" collapsed="false">
      <c r="A60" s="12" t="s">
        <v>499</v>
      </c>
      <c r="B60" s="13" t="s">
        <v>32</v>
      </c>
      <c r="C60" s="48" t="s">
        <v>520</v>
      </c>
      <c r="D60" s="49"/>
      <c r="E60" s="49" t="s">
        <v>521</v>
      </c>
      <c r="F60" s="49" t="s">
        <v>73</v>
      </c>
      <c r="G60" s="49" t="s">
        <v>86</v>
      </c>
      <c r="H60" s="56"/>
      <c r="I60" s="56"/>
    </row>
    <row r="61" customFormat="false" ht="34.5" hidden="false" customHeight="true" outlineLevel="0" collapsed="false">
      <c r="A61" s="12" t="s">
        <v>499</v>
      </c>
      <c r="B61" s="13" t="s">
        <v>32</v>
      </c>
      <c r="C61" s="48" t="s">
        <v>522</v>
      </c>
      <c r="D61" s="49"/>
      <c r="E61" s="49" t="s">
        <v>523</v>
      </c>
      <c r="F61" s="49" t="s">
        <v>73</v>
      </c>
      <c r="G61" s="49" t="s">
        <v>86</v>
      </c>
      <c r="H61" s="56"/>
      <c r="I61" s="56"/>
    </row>
    <row r="62" customFormat="false" ht="45.75" hidden="false" customHeight="true" outlineLevel="0" collapsed="false">
      <c r="A62" s="12" t="s">
        <v>499</v>
      </c>
      <c r="B62" s="13" t="s">
        <v>35</v>
      </c>
      <c r="C62" s="48" t="s">
        <v>509</v>
      </c>
      <c r="D62" s="49"/>
      <c r="E62" s="49" t="s">
        <v>510</v>
      </c>
      <c r="F62" s="49" t="s">
        <v>73</v>
      </c>
      <c r="G62" s="49" t="s">
        <v>86</v>
      </c>
      <c r="H62" s="56"/>
      <c r="I62" s="56"/>
    </row>
    <row r="63" customFormat="false" ht="34.5" hidden="false" customHeight="true" outlineLevel="0" collapsed="false">
      <c r="A63" s="12" t="s">
        <v>499</v>
      </c>
      <c r="B63" s="13" t="s">
        <v>28</v>
      </c>
      <c r="C63" s="48" t="s">
        <v>500</v>
      </c>
      <c r="D63" s="49"/>
      <c r="E63" s="49" t="s">
        <v>501</v>
      </c>
      <c r="F63" s="49" t="s">
        <v>73</v>
      </c>
      <c r="G63" s="49" t="s">
        <v>90</v>
      </c>
      <c r="H63" s="56"/>
      <c r="I63" s="56"/>
    </row>
    <row r="64" customFormat="false" ht="34.5" hidden="false" customHeight="true" outlineLevel="0" collapsed="false">
      <c r="A64" s="12" t="s">
        <v>499</v>
      </c>
      <c r="B64" s="13" t="s">
        <v>28</v>
      </c>
      <c r="C64" s="48" t="s">
        <v>502</v>
      </c>
      <c r="D64" s="49"/>
      <c r="E64" s="49" t="s">
        <v>503</v>
      </c>
      <c r="F64" s="49" t="s">
        <v>73</v>
      </c>
      <c r="G64" s="49" t="s">
        <v>90</v>
      </c>
      <c r="H64" s="56"/>
      <c r="I64" s="56"/>
    </row>
    <row r="65" customFormat="false" ht="34.5" hidden="false" customHeight="true" outlineLevel="0" collapsed="false">
      <c r="A65" s="12" t="s">
        <v>499</v>
      </c>
      <c r="B65" s="13" t="s">
        <v>31</v>
      </c>
      <c r="C65" s="48" t="s">
        <v>507</v>
      </c>
      <c r="D65" s="49"/>
      <c r="E65" s="49" t="s">
        <v>508</v>
      </c>
      <c r="F65" s="49" t="s">
        <v>73</v>
      </c>
      <c r="G65" s="49" t="s">
        <v>90</v>
      </c>
      <c r="H65" s="56"/>
      <c r="I65" s="56"/>
    </row>
    <row r="66" customFormat="false" ht="45.75" hidden="false" customHeight="true" outlineLevel="0" collapsed="false">
      <c r="A66" s="12" t="s">
        <v>499</v>
      </c>
      <c r="B66" s="13" t="s">
        <v>35</v>
      </c>
      <c r="C66" s="48" t="s">
        <v>509</v>
      </c>
      <c r="D66" s="49"/>
      <c r="E66" s="49" t="s">
        <v>510</v>
      </c>
      <c r="F66" s="49" t="s">
        <v>73</v>
      </c>
      <c r="G66" s="49" t="s">
        <v>90</v>
      </c>
      <c r="H66" s="56"/>
      <c r="I66" s="56"/>
    </row>
    <row r="67" customFormat="false" ht="34.5" hidden="false" customHeight="true" outlineLevel="0" collapsed="false">
      <c r="A67" s="12" t="s">
        <v>499</v>
      </c>
      <c r="B67" s="13" t="s">
        <v>28</v>
      </c>
      <c r="C67" s="48" t="s">
        <v>500</v>
      </c>
      <c r="D67" s="49"/>
      <c r="E67" s="49" t="s">
        <v>501</v>
      </c>
      <c r="F67" s="49" t="s">
        <v>73</v>
      </c>
      <c r="G67" s="49" t="s">
        <v>309</v>
      </c>
      <c r="H67" s="56"/>
      <c r="I67" s="56"/>
    </row>
    <row r="68" customFormat="false" ht="34.5" hidden="false" customHeight="true" outlineLevel="0" collapsed="false">
      <c r="A68" s="12" t="s">
        <v>499</v>
      </c>
      <c r="B68" s="13" t="s">
        <v>28</v>
      </c>
      <c r="C68" s="48" t="s">
        <v>502</v>
      </c>
      <c r="D68" s="49"/>
      <c r="E68" s="49" t="s">
        <v>503</v>
      </c>
      <c r="F68" s="49" t="s">
        <v>73</v>
      </c>
      <c r="G68" s="49" t="s">
        <v>309</v>
      </c>
      <c r="H68" s="56"/>
      <c r="I68" s="56"/>
    </row>
    <row r="69" customFormat="false" ht="34.5" hidden="false" customHeight="true" outlineLevel="0" collapsed="false">
      <c r="A69" s="12" t="s">
        <v>499</v>
      </c>
      <c r="B69" s="13" t="s">
        <v>30</v>
      </c>
      <c r="C69" s="48" t="s">
        <v>524</v>
      </c>
      <c r="D69" s="49" t="s">
        <v>525</v>
      </c>
      <c r="E69" s="49" t="s">
        <v>526</v>
      </c>
      <c r="F69" s="49" t="s">
        <v>73</v>
      </c>
      <c r="G69" s="49" t="s">
        <v>309</v>
      </c>
      <c r="H69" s="56"/>
      <c r="I69" s="56"/>
    </row>
    <row r="70" customFormat="false" ht="34.5" hidden="false" customHeight="true" outlineLevel="0" collapsed="false">
      <c r="A70" s="12" t="s">
        <v>499</v>
      </c>
      <c r="B70" s="13" t="s">
        <v>30</v>
      </c>
      <c r="C70" s="48" t="s">
        <v>527</v>
      </c>
      <c r="D70" s="49" t="s">
        <v>528</v>
      </c>
      <c r="E70" s="49" t="s">
        <v>529</v>
      </c>
      <c r="F70" s="49" t="s">
        <v>73</v>
      </c>
      <c r="G70" s="49" t="s">
        <v>309</v>
      </c>
      <c r="H70" s="56"/>
      <c r="I70" s="56"/>
    </row>
    <row r="71" customFormat="false" ht="34.5" hidden="false" customHeight="true" outlineLevel="0" collapsed="false">
      <c r="A71" s="12" t="s">
        <v>499</v>
      </c>
      <c r="B71" s="13" t="s">
        <v>30</v>
      </c>
      <c r="C71" s="48" t="s">
        <v>530</v>
      </c>
      <c r="D71" s="49" t="s">
        <v>531</v>
      </c>
      <c r="E71" s="49" t="s">
        <v>532</v>
      </c>
      <c r="F71" s="49" t="s">
        <v>73</v>
      </c>
      <c r="G71" s="49" t="s">
        <v>309</v>
      </c>
      <c r="H71" s="56"/>
      <c r="I71" s="56"/>
    </row>
    <row r="72" customFormat="false" ht="34.5" hidden="false" customHeight="true" outlineLevel="0" collapsed="false">
      <c r="A72" s="12" t="s">
        <v>499</v>
      </c>
      <c r="B72" s="13" t="s">
        <v>30</v>
      </c>
      <c r="C72" s="48" t="s">
        <v>533</v>
      </c>
      <c r="D72" s="49" t="s">
        <v>534</v>
      </c>
      <c r="E72" s="49" t="s">
        <v>535</v>
      </c>
      <c r="F72" s="49" t="s">
        <v>73</v>
      </c>
      <c r="G72" s="49" t="s">
        <v>309</v>
      </c>
      <c r="H72" s="56"/>
      <c r="I72" s="56"/>
    </row>
    <row r="73" customFormat="false" ht="34.5" hidden="false" customHeight="true" outlineLevel="0" collapsed="false">
      <c r="A73" s="12" t="s">
        <v>499</v>
      </c>
      <c r="B73" s="13" t="s">
        <v>31</v>
      </c>
      <c r="C73" s="48" t="s">
        <v>507</v>
      </c>
      <c r="D73" s="49"/>
      <c r="E73" s="49" t="s">
        <v>508</v>
      </c>
      <c r="F73" s="49" t="s">
        <v>73</v>
      </c>
      <c r="G73" s="49" t="s">
        <v>309</v>
      </c>
      <c r="H73" s="56"/>
      <c r="I73" s="56"/>
    </row>
    <row r="74" customFormat="false" ht="45.75" hidden="false" customHeight="true" outlineLevel="0" collapsed="false">
      <c r="A74" s="12" t="s">
        <v>499</v>
      </c>
      <c r="B74" s="13" t="s">
        <v>35</v>
      </c>
      <c r="C74" s="48" t="s">
        <v>509</v>
      </c>
      <c r="D74" s="49"/>
      <c r="E74" s="49" t="s">
        <v>510</v>
      </c>
      <c r="F74" s="49" t="s">
        <v>73</v>
      </c>
      <c r="G74" s="49" t="s">
        <v>309</v>
      </c>
      <c r="H74" s="56"/>
      <c r="I74" s="56"/>
    </row>
    <row r="75" customFormat="false" ht="34.5" hidden="false" customHeight="true" outlineLevel="0" collapsed="false">
      <c r="A75" s="12" t="s">
        <v>499</v>
      </c>
      <c r="B75" s="13" t="s">
        <v>36</v>
      </c>
      <c r="C75" s="48" t="s">
        <v>514</v>
      </c>
      <c r="D75" s="49"/>
      <c r="E75" s="49" t="s">
        <v>515</v>
      </c>
      <c r="F75" s="49" t="s">
        <v>73</v>
      </c>
      <c r="G75" s="49" t="s">
        <v>172</v>
      </c>
      <c r="H75" s="56"/>
      <c r="I75" s="56"/>
    </row>
    <row r="76" customFormat="false" ht="34.5" hidden="false" customHeight="true" outlineLevel="0" collapsed="false">
      <c r="A76" s="12" t="s">
        <v>499</v>
      </c>
      <c r="B76" s="13" t="s">
        <v>28</v>
      </c>
      <c r="C76" s="48" t="s">
        <v>500</v>
      </c>
      <c r="D76" s="49"/>
      <c r="E76" s="49" t="s">
        <v>501</v>
      </c>
      <c r="F76" s="49" t="s">
        <v>73</v>
      </c>
      <c r="G76" s="49" t="s">
        <v>166</v>
      </c>
      <c r="H76" s="56"/>
      <c r="I76" s="56"/>
    </row>
    <row r="77" customFormat="false" ht="34.5" hidden="false" customHeight="true" outlineLevel="0" collapsed="false">
      <c r="A77" s="12" t="s">
        <v>499</v>
      </c>
      <c r="B77" s="13" t="s">
        <v>28</v>
      </c>
      <c r="C77" s="48" t="s">
        <v>502</v>
      </c>
      <c r="D77" s="49"/>
      <c r="E77" s="49" t="s">
        <v>503</v>
      </c>
      <c r="F77" s="49" t="s">
        <v>73</v>
      </c>
      <c r="G77" s="49" t="s">
        <v>166</v>
      </c>
      <c r="H77" s="56"/>
      <c r="I77" s="56"/>
    </row>
    <row r="78" customFormat="false" ht="34.5" hidden="false" customHeight="true" outlineLevel="0" collapsed="false">
      <c r="A78" s="12" t="s">
        <v>499</v>
      </c>
      <c r="B78" s="13" t="s">
        <v>30</v>
      </c>
      <c r="C78" s="48" t="s">
        <v>524</v>
      </c>
      <c r="D78" s="49" t="s">
        <v>525</v>
      </c>
      <c r="E78" s="49" t="s">
        <v>526</v>
      </c>
      <c r="F78" s="49" t="s">
        <v>73</v>
      </c>
      <c r="G78" s="49" t="s">
        <v>166</v>
      </c>
      <c r="H78" s="56"/>
      <c r="I78" s="56"/>
    </row>
    <row r="79" customFormat="false" ht="34.5" hidden="false" customHeight="true" outlineLevel="0" collapsed="false">
      <c r="A79" s="12" t="s">
        <v>499</v>
      </c>
      <c r="B79" s="13" t="s">
        <v>30</v>
      </c>
      <c r="C79" s="48" t="s">
        <v>527</v>
      </c>
      <c r="D79" s="49" t="s">
        <v>528</v>
      </c>
      <c r="E79" s="49" t="s">
        <v>529</v>
      </c>
      <c r="F79" s="49" t="s">
        <v>73</v>
      </c>
      <c r="G79" s="49" t="s">
        <v>166</v>
      </c>
      <c r="H79" s="56"/>
      <c r="I79" s="56"/>
    </row>
    <row r="80" customFormat="false" ht="34.5" hidden="false" customHeight="true" outlineLevel="0" collapsed="false">
      <c r="A80" s="12" t="s">
        <v>499</v>
      </c>
      <c r="B80" s="13" t="s">
        <v>30</v>
      </c>
      <c r="C80" s="48" t="s">
        <v>530</v>
      </c>
      <c r="D80" s="49" t="s">
        <v>531</v>
      </c>
      <c r="E80" s="49" t="s">
        <v>532</v>
      </c>
      <c r="F80" s="49" t="s">
        <v>73</v>
      </c>
      <c r="G80" s="49" t="s">
        <v>166</v>
      </c>
      <c r="H80" s="56"/>
      <c r="I80" s="56"/>
    </row>
    <row r="81" customFormat="false" ht="34.5" hidden="false" customHeight="true" outlineLevel="0" collapsed="false">
      <c r="A81" s="12" t="s">
        <v>499</v>
      </c>
      <c r="B81" s="13" t="s">
        <v>30</v>
      </c>
      <c r="C81" s="48" t="s">
        <v>533</v>
      </c>
      <c r="D81" s="49" t="s">
        <v>534</v>
      </c>
      <c r="E81" s="49" t="s">
        <v>535</v>
      </c>
      <c r="F81" s="49" t="s">
        <v>73</v>
      </c>
      <c r="G81" s="49" t="s">
        <v>166</v>
      </c>
      <c r="H81" s="56"/>
      <c r="I81" s="56"/>
    </row>
    <row r="82" customFormat="false" ht="34.5" hidden="false" customHeight="true" outlineLevel="0" collapsed="false">
      <c r="A82" s="12" t="s">
        <v>499</v>
      </c>
      <c r="B82" s="13" t="s">
        <v>31</v>
      </c>
      <c r="C82" s="48" t="s">
        <v>507</v>
      </c>
      <c r="D82" s="49"/>
      <c r="E82" s="49" t="s">
        <v>508</v>
      </c>
      <c r="F82" s="49" t="s">
        <v>73</v>
      </c>
      <c r="G82" s="49" t="s">
        <v>166</v>
      </c>
      <c r="H82" s="56"/>
      <c r="I82" s="56"/>
    </row>
    <row r="83" customFormat="false" ht="45.75" hidden="false" customHeight="true" outlineLevel="0" collapsed="false">
      <c r="A83" s="12" t="s">
        <v>499</v>
      </c>
      <c r="B83" s="13" t="s">
        <v>35</v>
      </c>
      <c r="C83" s="48" t="s">
        <v>509</v>
      </c>
      <c r="D83" s="49"/>
      <c r="E83" s="49" t="s">
        <v>510</v>
      </c>
      <c r="F83" s="49" t="s">
        <v>73</v>
      </c>
      <c r="G83" s="49" t="s">
        <v>166</v>
      </c>
      <c r="H83" s="56"/>
      <c r="I83" s="56"/>
    </row>
    <row r="84" customFormat="false" ht="34.5" hidden="false" customHeight="true" outlineLevel="0" collapsed="false">
      <c r="A84" s="12" t="s">
        <v>499</v>
      </c>
      <c r="B84" s="13" t="s">
        <v>28</v>
      </c>
      <c r="C84" s="48" t="s">
        <v>500</v>
      </c>
      <c r="D84" s="49"/>
      <c r="E84" s="49" t="s">
        <v>501</v>
      </c>
      <c r="F84" s="49" t="s">
        <v>73</v>
      </c>
      <c r="G84" s="49" t="s">
        <v>168</v>
      </c>
      <c r="H84" s="56"/>
      <c r="I84" s="56"/>
    </row>
    <row r="85" customFormat="false" ht="34.5" hidden="false" customHeight="true" outlineLevel="0" collapsed="false">
      <c r="A85" s="12" t="s">
        <v>499</v>
      </c>
      <c r="B85" s="13" t="s">
        <v>28</v>
      </c>
      <c r="C85" s="48" t="s">
        <v>502</v>
      </c>
      <c r="D85" s="49"/>
      <c r="E85" s="49" t="s">
        <v>503</v>
      </c>
      <c r="F85" s="49" t="s">
        <v>73</v>
      </c>
      <c r="G85" s="49" t="s">
        <v>168</v>
      </c>
      <c r="H85" s="56"/>
      <c r="I85" s="56"/>
    </row>
    <row r="86" customFormat="false" ht="34.5" hidden="false" customHeight="true" outlineLevel="0" collapsed="false">
      <c r="A86" s="12" t="s">
        <v>499</v>
      </c>
      <c r="B86" s="13" t="s">
        <v>30</v>
      </c>
      <c r="C86" s="48" t="s">
        <v>524</v>
      </c>
      <c r="D86" s="49" t="s">
        <v>525</v>
      </c>
      <c r="E86" s="49" t="s">
        <v>526</v>
      </c>
      <c r="F86" s="49" t="s">
        <v>73</v>
      </c>
      <c r="G86" s="49" t="s">
        <v>168</v>
      </c>
      <c r="H86" s="56"/>
      <c r="I86" s="56"/>
    </row>
    <row r="87" customFormat="false" ht="34.5" hidden="false" customHeight="true" outlineLevel="0" collapsed="false">
      <c r="A87" s="12" t="s">
        <v>499</v>
      </c>
      <c r="B87" s="13" t="s">
        <v>30</v>
      </c>
      <c r="C87" s="48" t="s">
        <v>527</v>
      </c>
      <c r="D87" s="49" t="s">
        <v>528</v>
      </c>
      <c r="E87" s="49" t="s">
        <v>529</v>
      </c>
      <c r="F87" s="49" t="s">
        <v>73</v>
      </c>
      <c r="G87" s="49" t="s">
        <v>168</v>
      </c>
      <c r="H87" s="56"/>
      <c r="I87" s="56"/>
    </row>
    <row r="88" customFormat="false" ht="34.5" hidden="false" customHeight="true" outlineLevel="0" collapsed="false">
      <c r="A88" s="12" t="s">
        <v>499</v>
      </c>
      <c r="B88" s="13" t="s">
        <v>30</v>
      </c>
      <c r="C88" s="48" t="s">
        <v>530</v>
      </c>
      <c r="D88" s="49" t="s">
        <v>531</v>
      </c>
      <c r="E88" s="49" t="s">
        <v>532</v>
      </c>
      <c r="F88" s="49" t="s">
        <v>73</v>
      </c>
      <c r="G88" s="49" t="s">
        <v>168</v>
      </c>
      <c r="H88" s="56"/>
      <c r="I88" s="56"/>
    </row>
    <row r="89" customFormat="false" ht="34.5" hidden="false" customHeight="true" outlineLevel="0" collapsed="false">
      <c r="A89" s="12" t="s">
        <v>499</v>
      </c>
      <c r="B89" s="13" t="s">
        <v>30</v>
      </c>
      <c r="C89" s="48" t="s">
        <v>533</v>
      </c>
      <c r="D89" s="49" t="s">
        <v>534</v>
      </c>
      <c r="E89" s="49" t="s">
        <v>535</v>
      </c>
      <c r="F89" s="49" t="s">
        <v>73</v>
      </c>
      <c r="G89" s="49" t="s">
        <v>168</v>
      </c>
      <c r="H89" s="56"/>
      <c r="I89" s="56"/>
    </row>
    <row r="90" customFormat="false" ht="34.5" hidden="false" customHeight="true" outlineLevel="0" collapsed="false">
      <c r="A90" s="12" t="s">
        <v>499</v>
      </c>
      <c r="B90" s="13" t="s">
        <v>31</v>
      </c>
      <c r="C90" s="48" t="s">
        <v>507</v>
      </c>
      <c r="D90" s="49"/>
      <c r="E90" s="49" t="s">
        <v>508</v>
      </c>
      <c r="F90" s="49" t="s">
        <v>73</v>
      </c>
      <c r="G90" s="49" t="s">
        <v>168</v>
      </c>
      <c r="H90" s="56"/>
      <c r="I90" s="56"/>
    </row>
    <row r="91" customFormat="false" ht="45.75" hidden="false" customHeight="true" outlineLevel="0" collapsed="false">
      <c r="A91" s="12" t="s">
        <v>499</v>
      </c>
      <c r="B91" s="13" t="s">
        <v>35</v>
      </c>
      <c r="C91" s="48" t="s">
        <v>509</v>
      </c>
      <c r="D91" s="49"/>
      <c r="E91" s="49" t="s">
        <v>510</v>
      </c>
      <c r="F91" s="49" t="s">
        <v>73</v>
      </c>
      <c r="G91" s="49" t="s">
        <v>168</v>
      </c>
      <c r="H91" s="56"/>
      <c r="I91" s="56"/>
    </row>
    <row r="92" customFormat="false" ht="34.5" hidden="false" customHeight="true" outlineLevel="0" collapsed="false">
      <c r="A92" s="12" t="s">
        <v>499</v>
      </c>
      <c r="B92" s="13" t="s">
        <v>28</v>
      </c>
      <c r="C92" s="48" t="s">
        <v>500</v>
      </c>
      <c r="D92" s="49"/>
      <c r="E92" s="49" t="s">
        <v>501</v>
      </c>
      <c r="F92" s="49" t="s">
        <v>73</v>
      </c>
      <c r="G92" s="49" t="s">
        <v>312</v>
      </c>
      <c r="H92" s="56"/>
      <c r="I92" s="56"/>
    </row>
    <row r="93" customFormat="false" ht="34.5" hidden="false" customHeight="true" outlineLevel="0" collapsed="false">
      <c r="A93" s="12" t="s">
        <v>499</v>
      </c>
      <c r="B93" s="13" t="s">
        <v>28</v>
      </c>
      <c r="C93" s="48" t="s">
        <v>502</v>
      </c>
      <c r="D93" s="49"/>
      <c r="E93" s="49" t="s">
        <v>503</v>
      </c>
      <c r="F93" s="49" t="s">
        <v>73</v>
      </c>
      <c r="G93" s="49" t="s">
        <v>312</v>
      </c>
      <c r="H93" s="56"/>
      <c r="I93" s="56"/>
    </row>
    <row r="94" customFormat="false" ht="34.5" hidden="false" customHeight="true" outlineLevel="0" collapsed="false">
      <c r="A94" s="12" t="s">
        <v>499</v>
      </c>
      <c r="B94" s="13" t="s">
        <v>30</v>
      </c>
      <c r="C94" s="48" t="s">
        <v>524</v>
      </c>
      <c r="D94" s="49" t="s">
        <v>525</v>
      </c>
      <c r="E94" s="49" t="s">
        <v>526</v>
      </c>
      <c r="F94" s="49" t="s">
        <v>73</v>
      </c>
      <c r="G94" s="49" t="s">
        <v>312</v>
      </c>
      <c r="H94" s="56"/>
      <c r="I94" s="56"/>
    </row>
    <row r="95" customFormat="false" ht="34.5" hidden="false" customHeight="true" outlineLevel="0" collapsed="false">
      <c r="A95" s="12" t="s">
        <v>499</v>
      </c>
      <c r="B95" s="13" t="s">
        <v>30</v>
      </c>
      <c r="C95" s="48" t="s">
        <v>527</v>
      </c>
      <c r="D95" s="49" t="s">
        <v>528</v>
      </c>
      <c r="E95" s="49" t="s">
        <v>529</v>
      </c>
      <c r="F95" s="49" t="s">
        <v>73</v>
      </c>
      <c r="G95" s="49" t="s">
        <v>312</v>
      </c>
      <c r="H95" s="56"/>
      <c r="I95" s="56"/>
    </row>
    <row r="96" customFormat="false" ht="34.5" hidden="false" customHeight="true" outlineLevel="0" collapsed="false">
      <c r="A96" s="12" t="s">
        <v>499</v>
      </c>
      <c r="B96" s="13" t="s">
        <v>30</v>
      </c>
      <c r="C96" s="48" t="s">
        <v>530</v>
      </c>
      <c r="D96" s="49" t="s">
        <v>531</v>
      </c>
      <c r="E96" s="49" t="s">
        <v>532</v>
      </c>
      <c r="F96" s="49" t="s">
        <v>73</v>
      </c>
      <c r="G96" s="49" t="s">
        <v>312</v>
      </c>
      <c r="H96" s="56"/>
      <c r="I96" s="56"/>
    </row>
    <row r="97" customFormat="false" ht="34.5" hidden="false" customHeight="true" outlineLevel="0" collapsed="false">
      <c r="A97" s="12" t="s">
        <v>499</v>
      </c>
      <c r="B97" s="13" t="s">
        <v>30</v>
      </c>
      <c r="C97" s="48" t="s">
        <v>533</v>
      </c>
      <c r="D97" s="49" t="s">
        <v>534</v>
      </c>
      <c r="E97" s="49" t="s">
        <v>535</v>
      </c>
      <c r="F97" s="49" t="s">
        <v>73</v>
      </c>
      <c r="G97" s="49" t="s">
        <v>312</v>
      </c>
      <c r="H97" s="56"/>
      <c r="I97" s="56"/>
    </row>
    <row r="98" customFormat="false" ht="34.5" hidden="false" customHeight="true" outlineLevel="0" collapsed="false">
      <c r="A98" s="12" t="s">
        <v>499</v>
      </c>
      <c r="B98" s="13" t="s">
        <v>31</v>
      </c>
      <c r="C98" s="48" t="s">
        <v>507</v>
      </c>
      <c r="D98" s="49"/>
      <c r="E98" s="49" t="s">
        <v>508</v>
      </c>
      <c r="F98" s="49" t="s">
        <v>73</v>
      </c>
      <c r="G98" s="49" t="s">
        <v>312</v>
      </c>
      <c r="H98" s="56"/>
      <c r="I98" s="56"/>
    </row>
    <row r="99" customFormat="false" ht="45.75" hidden="false" customHeight="true" outlineLevel="0" collapsed="false">
      <c r="A99" s="12" t="s">
        <v>499</v>
      </c>
      <c r="B99" s="13" t="s">
        <v>35</v>
      </c>
      <c r="C99" s="48" t="s">
        <v>509</v>
      </c>
      <c r="D99" s="49"/>
      <c r="E99" s="49" t="s">
        <v>510</v>
      </c>
      <c r="F99" s="49" t="s">
        <v>73</v>
      </c>
      <c r="G99" s="49" t="s">
        <v>312</v>
      </c>
      <c r="H99" s="56"/>
      <c r="I99" s="56"/>
    </row>
    <row r="100" customFormat="false" ht="34.5" hidden="false" customHeight="true" outlineLevel="0" collapsed="false">
      <c r="A100" s="12" t="s">
        <v>499</v>
      </c>
      <c r="B100" s="13" t="s">
        <v>36</v>
      </c>
      <c r="C100" s="48" t="s">
        <v>514</v>
      </c>
      <c r="D100" s="49"/>
      <c r="E100" s="49" t="s">
        <v>515</v>
      </c>
      <c r="F100" s="49" t="s">
        <v>73</v>
      </c>
      <c r="G100" s="49" t="s">
        <v>349</v>
      </c>
      <c r="H100" s="56"/>
      <c r="I100" s="56"/>
    </row>
    <row r="101" customFormat="false" ht="34.5" hidden="false" customHeight="true" outlineLevel="0" collapsed="false">
      <c r="A101" s="12" t="s">
        <v>499</v>
      </c>
      <c r="B101" s="13" t="s">
        <v>28</v>
      </c>
      <c r="C101" s="48" t="s">
        <v>500</v>
      </c>
      <c r="D101" s="49"/>
      <c r="E101" s="49" t="s">
        <v>501</v>
      </c>
      <c r="F101" s="49" t="s">
        <v>73</v>
      </c>
      <c r="G101" s="49" t="s">
        <v>314</v>
      </c>
      <c r="H101" s="56"/>
      <c r="I101" s="56"/>
    </row>
    <row r="102" customFormat="false" ht="34.5" hidden="false" customHeight="true" outlineLevel="0" collapsed="false">
      <c r="A102" s="12" t="s">
        <v>499</v>
      </c>
      <c r="B102" s="13" t="s">
        <v>28</v>
      </c>
      <c r="C102" s="48" t="s">
        <v>502</v>
      </c>
      <c r="D102" s="49"/>
      <c r="E102" s="49" t="s">
        <v>503</v>
      </c>
      <c r="F102" s="49" t="s">
        <v>73</v>
      </c>
      <c r="G102" s="49" t="s">
        <v>314</v>
      </c>
      <c r="H102" s="56"/>
      <c r="I102" s="56"/>
    </row>
    <row r="103" customFormat="false" ht="34.5" hidden="false" customHeight="true" outlineLevel="0" collapsed="false">
      <c r="A103" s="12" t="s">
        <v>499</v>
      </c>
      <c r="B103" s="13" t="s">
        <v>30</v>
      </c>
      <c r="C103" s="48" t="s">
        <v>524</v>
      </c>
      <c r="D103" s="49" t="s">
        <v>525</v>
      </c>
      <c r="E103" s="49" t="s">
        <v>526</v>
      </c>
      <c r="F103" s="49" t="s">
        <v>73</v>
      </c>
      <c r="G103" s="49" t="s">
        <v>314</v>
      </c>
      <c r="H103" s="56"/>
      <c r="I103" s="56"/>
    </row>
    <row r="104" customFormat="false" ht="34.5" hidden="false" customHeight="true" outlineLevel="0" collapsed="false">
      <c r="A104" s="12" t="s">
        <v>499</v>
      </c>
      <c r="B104" s="13" t="s">
        <v>30</v>
      </c>
      <c r="C104" s="48" t="s">
        <v>527</v>
      </c>
      <c r="D104" s="49" t="s">
        <v>528</v>
      </c>
      <c r="E104" s="49" t="s">
        <v>529</v>
      </c>
      <c r="F104" s="49" t="s">
        <v>73</v>
      </c>
      <c r="G104" s="49" t="s">
        <v>314</v>
      </c>
      <c r="H104" s="56"/>
      <c r="I104" s="56"/>
    </row>
    <row r="105" customFormat="false" ht="34.5" hidden="false" customHeight="true" outlineLevel="0" collapsed="false">
      <c r="A105" s="12" t="s">
        <v>499</v>
      </c>
      <c r="B105" s="13" t="s">
        <v>30</v>
      </c>
      <c r="C105" s="48" t="s">
        <v>530</v>
      </c>
      <c r="D105" s="49" t="s">
        <v>531</v>
      </c>
      <c r="E105" s="49" t="s">
        <v>532</v>
      </c>
      <c r="F105" s="49" t="s">
        <v>73</v>
      </c>
      <c r="G105" s="49" t="s">
        <v>314</v>
      </c>
      <c r="H105" s="56"/>
      <c r="I105" s="56"/>
    </row>
    <row r="106" customFormat="false" ht="34.5" hidden="false" customHeight="true" outlineLevel="0" collapsed="false">
      <c r="A106" s="12" t="s">
        <v>499</v>
      </c>
      <c r="B106" s="13" t="s">
        <v>30</v>
      </c>
      <c r="C106" s="48" t="s">
        <v>533</v>
      </c>
      <c r="D106" s="49" t="s">
        <v>534</v>
      </c>
      <c r="E106" s="49" t="s">
        <v>535</v>
      </c>
      <c r="F106" s="49" t="s">
        <v>73</v>
      </c>
      <c r="G106" s="49" t="s">
        <v>314</v>
      </c>
      <c r="H106" s="56"/>
      <c r="I106" s="56"/>
    </row>
    <row r="107" customFormat="false" ht="34.5" hidden="false" customHeight="true" outlineLevel="0" collapsed="false">
      <c r="A107" s="12" t="s">
        <v>499</v>
      </c>
      <c r="B107" s="13" t="s">
        <v>31</v>
      </c>
      <c r="C107" s="48" t="s">
        <v>507</v>
      </c>
      <c r="D107" s="49"/>
      <c r="E107" s="49" t="s">
        <v>508</v>
      </c>
      <c r="F107" s="49" t="s">
        <v>73</v>
      </c>
      <c r="G107" s="49" t="s">
        <v>314</v>
      </c>
      <c r="H107" s="56"/>
      <c r="I107" s="56"/>
    </row>
    <row r="108" customFormat="false" ht="45.75" hidden="false" customHeight="true" outlineLevel="0" collapsed="false">
      <c r="A108" s="12" t="s">
        <v>499</v>
      </c>
      <c r="B108" s="13" t="s">
        <v>35</v>
      </c>
      <c r="C108" s="48" t="s">
        <v>509</v>
      </c>
      <c r="D108" s="49"/>
      <c r="E108" s="49" t="s">
        <v>510</v>
      </c>
      <c r="F108" s="49" t="s">
        <v>73</v>
      </c>
      <c r="G108" s="49" t="s">
        <v>314</v>
      </c>
      <c r="H108" s="56"/>
      <c r="I108" s="56"/>
    </row>
    <row r="109" customFormat="false" ht="34.5" hidden="false" customHeight="true" outlineLevel="0" collapsed="false">
      <c r="A109" s="12" t="s">
        <v>499</v>
      </c>
      <c r="B109" s="13" t="s">
        <v>28</v>
      </c>
      <c r="C109" s="48" t="s">
        <v>500</v>
      </c>
      <c r="D109" s="49"/>
      <c r="E109" s="49" t="s">
        <v>501</v>
      </c>
      <c r="F109" s="49" t="s">
        <v>73</v>
      </c>
      <c r="G109" s="49" t="s">
        <v>74</v>
      </c>
      <c r="H109" s="56"/>
      <c r="I109" s="56"/>
    </row>
    <row r="110" customFormat="false" ht="34.5" hidden="false" customHeight="true" outlineLevel="0" collapsed="false">
      <c r="A110" s="12" t="s">
        <v>499</v>
      </c>
      <c r="B110" s="13" t="s">
        <v>28</v>
      </c>
      <c r="C110" s="48" t="s">
        <v>502</v>
      </c>
      <c r="D110" s="49"/>
      <c r="E110" s="49" t="s">
        <v>503</v>
      </c>
      <c r="F110" s="49" t="s">
        <v>73</v>
      </c>
      <c r="G110" s="49" t="s">
        <v>74</v>
      </c>
      <c r="H110" s="56"/>
      <c r="I110" s="56"/>
    </row>
    <row r="111" customFormat="false" ht="34.5" hidden="false" customHeight="true" outlineLevel="0" collapsed="false">
      <c r="A111" s="12" t="s">
        <v>499</v>
      </c>
      <c r="B111" s="13" t="s">
        <v>29</v>
      </c>
      <c r="C111" s="48" t="s">
        <v>504</v>
      </c>
      <c r="D111" s="49" t="s">
        <v>505</v>
      </c>
      <c r="E111" s="49" t="s">
        <v>506</v>
      </c>
      <c r="F111" s="49" t="s">
        <v>73</v>
      </c>
      <c r="G111" s="49" t="s">
        <v>74</v>
      </c>
      <c r="H111" s="56"/>
      <c r="I111" s="56"/>
    </row>
    <row r="112" customFormat="false" ht="34.5" hidden="false" customHeight="true" outlineLevel="0" collapsed="false">
      <c r="A112" s="12" t="s">
        <v>499</v>
      </c>
      <c r="B112" s="13" t="s">
        <v>30</v>
      </c>
      <c r="C112" s="48" t="s">
        <v>524</v>
      </c>
      <c r="D112" s="49" t="s">
        <v>525</v>
      </c>
      <c r="E112" s="49" t="s">
        <v>526</v>
      </c>
      <c r="F112" s="49" t="s">
        <v>73</v>
      </c>
      <c r="G112" s="49" t="s">
        <v>74</v>
      </c>
      <c r="H112" s="56"/>
      <c r="I112" s="56"/>
    </row>
    <row r="113" customFormat="false" ht="34.5" hidden="false" customHeight="true" outlineLevel="0" collapsed="false">
      <c r="A113" s="12" t="s">
        <v>499</v>
      </c>
      <c r="B113" s="13" t="s">
        <v>30</v>
      </c>
      <c r="C113" s="48" t="s">
        <v>527</v>
      </c>
      <c r="D113" s="49" t="s">
        <v>528</v>
      </c>
      <c r="E113" s="49" t="s">
        <v>529</v>
      </c>
      <c r="F113" s="49" t="s">
        <v>73</v>
      </c>
      <c r="G113" s="49" t="s">
        <v>74</v>
      </c>
      <c r="H113" s="56"/>
      <c r="I113" s="56"/>
    </row>
    <row r="114" customFormat="false" ht="34.5" hidden="false" customHeight="true" outlineLevel="0" collapsed="false">
      <c r="A114" s="12" t="s">
        <v>499</v>
      </c>
      <c r="B114" s="13" t="s">
        <v>30</v>
      </c>
      <c r="C114" s="48" t="s">
        <v>530</v>
      </c>
      <c r="D114" s="49" t="s">
        <v>531</v>
      </c>
      <c r="E114" s="49" t="s">
        <v>532</v>
      </c>
      <c r="F114" s="49" t="s">
        <v>73</v>
      </c>
      <c r="G114" s="49" t="s">
        <v>74</v>
      </c>
      <c r="H114" s="56"/>
      <c r="I114" s="56"/>
    </row>
    <row r="115" customFormat="false" ht="34.5" hidden="false" customHeight="true" outlineLevel="0" collapsed="false">
      <c r="A115" s="12" t="s">
        <v>499</v>
      </c>
      <c r="B115" s="13" t="s">
        <v>30</v>
      </c>
      <c r="C115" s="48" t="s">
        <v>533</v>
      </c>
      <c r="D115" s="49" t="s">
        <v>534</v>
      </c>
      <c r="E115" s="49" t="s">
        <v>535</v>
      </c>
      <c r="F115" s="49" t="s">
        <v>73</v>
      </c>
      <c r="G115" s="49" t="s">
        <v>74</v>
      </c>
      <c r="H115" s="56"/>
      <c r="I115" s="56"/>
    </row>
    <row r="116" customFormat="false" ht="34.5" hidden="false" customHeight="true" outlineLevel="0" collapsed="false">
      <c r="A116" s="12" t="s">
        <v>499</v>
      </c>
      <c r="B116" s="13" t="s">
        <v>31</v>
      </c>
      <c r="C116" s="48" t="s">
        <v>507</v>
      </c>
      <c r="D116" s="49"/>
      <c r="E116" s="49" t="s">
        <v>508</v>
      </c>
      <c r="F116" s="49" t="s">
        <v>73</v>
      </c>
      <c r="G116" s="49" t="s">
        <v>74</v>
      </c>
      <c r="H116" s="56"/>
      <c r="I116" s="56"/>
    </row>
    <row r="117" customFormat="false" ht="45.75" hidden="false" customHeight="true" outlineLevel="0" collapsed="false">
      <c r="A117" s="12" t="s">
        <v>499</v>
      </c>
      <c r="B117" s="13" t="s">
        <v>35</v>
      </c>
      <c r="C117" s="48" t="s">
        <v>509</v>
      </c>
      <c r="D117" s="49"/>
      <c r="E117" s="49" t="s">
        <v>510</v>
      </c>
      <c r="F117" s="49" t="s">
        <v>73</v>
      </c>
      <c r="G117" s="49" t="s">
        <v>74</v>
      </c>
      <c r="H117" s="56"/>
      <c r="I117" s="56"/>
    </row>
    <row r="120" customFormat="false" ht="33" hidden="false" customHeight="true" outlineLevel="0" collapsed="false">
      <c r="A120" s="7" t="s">
        <v>45</v>
      </c>
      <c r="B120" s="8" t="s">
        <v>1</v>
      </c>
      <c r="C120" s="45" t="s">
        <v>51</v>
      </c>
      <c r="D120" s="46" t="s">
        <v>498</v>
      </c>
      <c r="E120" s="46" t="s">
        <v>417</v>
      </c>
      <c r="F120" s="46" t="s">
        <v>53</v>
      </c>
      <c r="G120" s="46" t="s">
        <v>418</v>
      </c>
      <c r="H120" s="54"/>
      <c r="I120" s="54"/>
    </row>
    <row r="121" customFormat="false" ht="34.5" hidden="false" customHeight="true" outlineLevel="0" collapsed="false">
      <c r="A121" s="12" t="s">
        <v>536</v>
      </c>
      <c r="B121" s="13" t="s">
        <v>28</v>
      </c>
      <c r="C121" s="48" t="s">
        <v>537</v>
      </c>
      <c r="D121" s="49"/>
      <c r="E121" s="49" t="s">
        <v>538</v>
      </c>
      <c r="F121" s="49" t="s">
        <v>142</v>
      </c>
      <c r="G121" s="49" t="s">
        <v>345</v>
      </c>
      <c r="H121" s="56"/>
      <c r="I121" s="56"/>
    </row>
    <row r="122" customFormat="false" ht="34.5" hidden="false" customHeight="true" outlineLevel="0" collapsed="false">
      <c r="A122" s="12" t="s">
        <v>536</v>
      </c>
      <c r="B122" s="13" t="s">
        <v>28</v>
      </c>
      <c r="C122" s="48" t="s">
        <v>502</v>
      </c>
      <c r="D122" s="49"/>
      <c r="E122" s="49" t="s">
        <v>503</v>
      </c>
      <c r="F122" s="49" t="s">
        <v>142</v>
      </c>
      <c r="G122" s="49" t="s">
        <v>345</v>
      </c>
      <c r="H122" s="56"/>
      <c r="I122" s="56"/>
    </row>
    <row r="123" customFormat="false" ht="34.5" hidden="false" customHeight="true" outlineLevel="0" collapsed="false">
      <c r="A123" s="12" t="s">
        <v>536</v>
      </c>
      <c r="B123" s="13" t="s">
        <v>30</v>
      </c>
      <c r="C123" s="48" t="s">
        <v>516</v>
      </c>
      <c r="D123" s="49"/>
      <c r="E123" s="49" t="s">
        <v>517</v>
      </c>
      <c r="F123" s="49" t="s">
        <v>142</v>
      </c>
      <c r="G123" s="49" t="s">
        <v>345</v>
      </c>
      <c r="H123" s="56"/>
      <c r="I123" s="56"/>
    </row>
    <row r="124" customFormat="false" ht="34.5" hidden="false" customHeight="true" outlineLevel="0" collapsed="false">
      <c r="A124" s="12" t="s">
        <v>536</v>
      </c>
      <c r="B124" s="13" t="s">
        <v>31</v>
      </c>
      <c r="C124" s="48" t="s">
        <v>539</v>
      </c>
      <c r="D124" s="49"/>
      <c r="E124" s="49" t="s">
        <v>540</v>
      </c>
      <c r="F124" s="49" t="s">
        <v>142</v>
      </c>
      <c r="G124" s="49" t="s">
        <v>345</v>
      </c>
      <c r="H124" s="56"/>
      <c r="I124" s="56"/>
    </row>
    <row r="125" customFormat="false" ht="34.5" hidden="false" customHeight="true" outlineLevel="0" collapsed="false">
      <c r="A125" s="12" t="s">
        <v>536</v>
      </c>
      <c r="B125" s="13" t="s">
        <v>31</v>
      </c>
      <c r="C125" s="48" t="s">
        <v>507</v>
      </c>
      <c r="D125" s="49"/>
      <c r="E125" s="49" t="s">
        <v>508</v>
      </c>
      <c r="F125" s="49" t="s">
        <v>142</v>
      </c>
      <c r="G125" s="49" t="s">
        <v>345</v>
      </c>
      <c r="H125" s="56"/>
      <c r="I125" s="56"/>
    </row>
    <row r="126" customFormat="false" ht="34.5" hidden="false" customHeight="true" outlineLevel="0" collapsed="false">
      <c r="A126" s="12" t="s">
        <v>536</v>
      </c>
      <c r="B126" s="13" t="s">
        <v>34</v>
      </c>
      <c r="C126" s="48" t="s">
        <v>541</v>
      </c>
      <c r="D126" s="49"/>
      <c r="E126" s="49" t="s">
        <v>542</v>
      </c>
      <c r="F126" s="49" t="s">
        <v>142</v>
      </c>
      <c r="G126" s="49" t="s">
        <v>345</v>
      </c>
      <c r="H126" s="56"/>
      <c r="I126" s="56"/>
    </row>
    <row r="127" customFormat="false" ht="34.5" hidden="false" customHeight="true" outlineLevel="0" collapsed="false">
      <c r="A127" s="12" t="s">
        <v>536</v>
      </c>
      <c r="B127" s="13" t="s">
        <v>35</v>
      </c>
      <c r="C127" s="48" t="s">
        <v>543</v>
      </c>
      <c r="D127" s="49"/>
      <c r="E127" s="49" t="s">
        <v>544</v>
      </c>
      <c r="F127" s="49" t="s">
        <v>142</v>
      </c>
      <c r="G127" s="49" t="s">
        <v>345</v>
      </c>
      <c r="H127" s="56"/>
      <c r="I127" s="56"/>
    </row>
    <row r="128" customFormat="false" ht="34.5" hidden="false" customHeight="true" outlineLevel="0" collapsed="false">
      <c r="A128" s="12" t="s">
        <v>536</v>
      </c>
      <c r="B128" s="13" t="s">
        <v>35</v>
      </c>
      <c r="C128" s="48" t="s">
        <v>545</v>
      </c>
      <c r="D128" s="49"/>
      <c r="E128" s="49" t="s">
        <v>546</v>
      </c>
      <c r="F128" s="49" t="s">
        <v>142</v>
      </c>
      <c r="G128" s="49" t="s">
        <v>345</v>
      </c>
      <c r="H128" s="56"/>
      <c r="I128" s="56"/>
    </row>
    <row r="129" customFormat="false" ht="34.5" hidden="false" customHeight="true" outlineLevel="0" collapsed="false">
      <c r="A129" s="12" t="s">
        <v>536</v>
      </c>
      <c r="B129" s="13" t="s">
        <v>28</v>
      </c>
      <c r="C129" s="48" t="s">
        <v>502</v>
      </c>
      <c r="D129" s="49"/>
      <c r="E129" s="49" t="s">
        <v>503</v>
      </c>
      <c r="F129" s="49" t="s">
        <v>174</v>
      </c>
      <c r="G129" s="49" t="s">
        <v>175</v>
      </c>
      <c r="H129" s="56"/>
      <c r="I129" s="56"/>
    </row>
    <row r="130" customFormat="false" ht="34.5" hidden="false" customHeight="true" outlineLevel="0" collapsed="false">
      <c r="A130" s="12" t="s">
        <v>536</v>
      </c>
      <c r="B130" s="13" t="s">
        <v>31</v>
      </c>
      <c r="C130" s="48" t="s">
        <v>507</v>
      </c>
      <c r="D130" s="49"/>
      <c r="E130" s="49" t="s">
        <v>508</v>
      </c>
      <c r="F130" s="49" t="s">
        <v>174</v>
      </c>
      <c r="G130" s="49" t="s">
        <v>175</v>
      </c>
      <c r="H130" s="56"/>
      <c r="I130" s="56"/>
    </row>
    <row r="131" customFormat="false" ht="34.5" hidden="false" customHeight="true" outlineLevel="0" collapsed="false">
      <c r="A131" s="12" t="s">
        <v>536</v>
      </c>
      <c r="B131" s="13" t="s">
        <v>32</v>
      </c>
      <c r="C131" s="48" t="s">
        <v>518</v>
      </c>
      <c r="D131" s="49"/>
      <c r="E131" s="49" t="s">
        <v>519</v>
      </c>
      <c r="F131" s="49" t="s">
        <v>174</v>
      </c>
      <c r="G131" s="49" t="s">
        <v>175</v>
      </c>
      <c r="H131" s="56"/>
      <c r="I131" s="56"/>
    </row>
    <row r="132" customFormat="false" ht="34.5" hidden="false" customHeight="true" outlineLevel="0" collapsed="false">
      <c r="A132" s="12" t="s">
        <v>536</v>
      </c>
      <c r="B132" s="13" t="s">
        <v>32</v>
      </c>
      <c r="C132" s="48" t="s">
        <v>520</v>
      </c>
      <c r="D132" s="49"/>
      <c r="E132" s="49" t="s">
        <v>521</v>
      </c>
      <c r="F132" s="49" t="s">
        <v>174</v>
      </c>
      <c r="G132" s="49" t="s">
        <v>175</v>
      </c>
      <c r="H132" s="56"/>
      <c r="I132" s="56"/>
    </row>
    <row r="133" customFormat="false" ht="34.5" hidden="false" customHeight="true" outlineLevel="0" collapsed="false">
      <c r="A133" s="12" t="s">
        <v>536</v>
      </c>
      <c r="B133" s="13" t="s">
        <v>32</v>
      </c>
      <c r="C133" s="48" t="s">
        <v>522</v>
      </c>
      <c r="D133" s="49"/>
      <c r="E133" s="49" t="s">
        <v>523</v>
      </c>
      <c r="F133" s="49" t="s">
        <v>174</v>
      </c>
      <c r="G133" s="49" t="s">
        <v>175</v>
      </c>
      <c r="H133" s="56"/>
      <c r="I133" s="56"/>
    </row>
    <row r="134" customFormat="false" ht="34.5" hidden="false" customHeight="true" outlineLevel="0" collapsed="false">
      <c r="A134" s="12" t="s">
        <v>536</v>
      </c>
      <c r="B134" s="13" t="s">
        <v>28</v>
      </c>
      <c r="C134" s="48" t="s">
        <v>502</v>
      </c>
      <c r="D134" s="49"/>
      <c r="E134" s="49" t="s">
        <v>503</v>
      </c>
      <c r="F134" s="49" t="s">
        <v>142</v>
      </c>
      <c r="G134" s="49" t="s">
        <v>163</v>
      </c>
      <c r="H134" s="56"/>
      <c r="I134" s="56"/>
    </row>
    <row r="135" customFormat="false" ht="34.5" hidden="false" customHeight="true" outlineLevel="0" collapsed="false">
      <c r="A135" s="12" t="s">
        <v>536</v>
      </c>
      <c r="B135" s="13" t="s">
        <v>31</v>
      </c>
      <c r="C135" s="48" t="s">
        <v>507</v>
      </c>
      <c r="D135" s="49"/>
      <c r="E135" s="49" t="s">
        <v>508</v>
      </c>
      <c r="F135" s="49" t="s">
        <v>142</v>
      </c>
      <c r="G135" s="49" t="s">
        <v>163</v>
      </c>
      <c r="H135" s="56"/>
      <c r="I135" s="56"/>
    </row>
    <row r="136" customFormat="false" ht="34.5" hidden="false" customHeight="true" outlineLevel="0" collapsed="false">
      <c r="A136" s="12" t="s">
        <v>536</v>
      </c>
      <c r="B136" s="13" t="s">
        <v>32</v>
      </c>
      <c r="C136" s="48" t="s">
        <v>518</v>
      </c>
      <c r="D136" s="49"/>
      <c r="E136" s="49" t="s">
        <v>519</v>
      </c>
      <c r="F136" s="49" t="s">
        <v>142</v>
      </c>
      <c r="G136" s="49" t="s">
        <v>163</v>
      </c>
      <c r="H136" s="56"/>
      <c r="I136" s="56"/>
    </row>
    <row r="137" customFormat="false" ht="34.5" hidden="false" customHeight="true" outlineLevel="0" collapsed="false">
      <c r="A137" s="12" t="s">
        <v>536</v>
      </c>
      <c r="B137" s="13" t="s">
        <v>32</v>
      </c>
      <c r="C137" s="48" t="s">
        <v>520</v>
      </c>
      <c r="D137" s="49"/>
      <c r="E137" s="49" t="s">
        <v>521</v>
      </c>
      <c r="F137" s="49" t="s">
        <v>142</v>
      </c>
      <c r="G137" s="49" t="s">
        <v>163</v>
      </c>
      <c r="H137" s="56"/>
      <c r="I137" s="56"/>
    </row>
    <row r="138" customFormat="false" ht="34.5" hidden="false" customHeight="true" outlineLevel="0" collapsed="false">
      <c r="A138" s="12" t="s">
        <v>536</v>
      </c>
      <c r="B138" s="13" t="s">
        <v>32</v>
      </c>
      <c r="C138" s="48" t="s">
        <v>522</v>
      </c>
      <c r="D138" s="49"/>
      <c r="E138" s="49" t="s">
        <v>523</v>
      </c>
      <c r="F138" s="49" t="s">
        <v>142</v>
      </c>
      <c r="G138" s="49" t="s">
        <v>163</v>
      </c>
      <c r="H138" s="56"/>
      <c r="I138" s="56"/>
    </row>
    <row r="139" customFormat="false" ht="57" hidden="false" customHeight="true" outlineLevel="0" collapsed="false">
      <c r="A139" s="12" t="s">
        <v>536</v>
      </c>
      <c r="B139" s="13" t="s">
        <v>36</v>
      </c>
      <c r="C139" s="48" t="s">
        <v>547</v>
      </c>
      <c r="D139" s="49"/>
      <c r="E139" s="49" t="s">
        <v>548</v>
      </c>
      <c r="F139" s="49" t="s">
        <v>142</v>
      </c>
      <c r="G139" s="49" t="s">
        <v>163</v>
      </c>
      <c r="H139" s="56"/>
      <c r="I139" s="56"/>
    </row>
    <row r="140" customFormat="false" ht="34.5" hidden="false" customHeight="true" outlineLevel="0" collapsed="false">
      <c r="A140" s="12" t="s">
        <v>536</v>
      </c>
      <c r="B140" s="13" t="s">
        <v>28</v>
      </c>
      <c r="C140" s="48" t="s">
        <v>502</v>
      </c>
      <c r="D140" s="49"/>
      <c r="E140" s="49" t="s">
        <v>503</v>
      </c>
      <c r="F140" s="49" t="s">
        <v>142</v>
      </c>
      <c r="G140" s="49" t="s">
        <v>172</v>
      </c>
      <c r="H140" s="56"/>
      <c r="I140" s="56"/>
    </row>
    <row r="141" customFormat="false" ht="34.5" hidden="false" customHeight="true" outlineLevel="0" collapsed="false">
      <c r="A141" s="12" t="s">
        <v>536</v>
      </c>
      <c r="B141" s="13" t="s">
        <v>31</v>
      </c>
      <c r="C141" s="48" t="s">
        <v>507</v>
      </c>
      <c r="D141" s="49"/>
      <c r="E141" s="49" t="s">
        <v>508</v>
      </c>
      <c r="F141" s="49" t="s">
        <v>142</v>
      </c>
      <c r="G141" s="49" t="s">
        <v>172</v>
      </c>
      <c r="H141" s="56"/>
      <c r="I141" s="56"/>
    </row>
    <row r="142" customFormat="false" ht="34.5" hidden="false" customHeight="true" outlineLevel="0" collapsed="false">
      <c r="A142" s="12" t="s">
        <v>536</v>
      </c>
      <c r="B142" s="13" t="s">
        <v>35</v>
      </c>
      <c r="C142" s="48" t="s">
        <v>543</v>
      </c>
      <c r="D142" s="49"/>
      <c r="E142" s="49" t="s">
        <v>544</v>
      </c>
      <c r="F142" s="49" t="s">
        <v>142</v>
      </c>
      <c r="G142" s="49" t="s">
        <v>172</v>
      </c>
      <c r="H142" s="56"/>
      <c r="I142" s="56"/>
    </row>
    <row r="143" customFormat="false" ht="34.5" hidden="false" customHeight="true" outlineLevel="0" collapsed="false">
      <c r="A143" s="12" t="s">
        <v>536</v>
      </c>
      <c r="B143" s="13" t="s">
        <v>28</v>
      </c>
      <c r="C143" s="48" t="s">
        <v>502</v>
      </c>
      <c r="D143" s="49"/>
      <c r="E143" s="49" t="s">
        <v>503</v>
      </c>
      <c r="F143" s="49" t="s">
        <v>142</v>
      </c>
      <c r="G143" s="49" t="s">
        <v>349</v>
      </c>
      <c r="H143" s="56"/>
      <c r="I143" s="56"/>
    </row>
    <row r="144" customFormat="false" ht="34.5" hidden="false" customHeight="true" outlineLevel="0" collapsed="false">
      <c r="A144" s="12" t="s">
        <v>536</v>
      </c>
      <c r="B144" s="13" t="s">
        <v>31</v>
      </c>
      <c r="C144" s="48" t="s">
        <v>507</v>
      </c>
      <c r="D144" s="49"/>
      <c r="E144" s="49" t="s">
        <v>508</v>
      </c>
      <c r="F144" s="49" t="s">
        <v>142</v>
      </c>
      <c r="G144" s="49" t="s">
        <v>349</v>
      </c>
      <c r="H144" s="56"/>
      <c r="I144" s="56"/>
    </row>
    <row r="145" customFormat="false" ht="34.5" hidden="false" customHeight="true" outlineLevel="0" collapsed="false">
      <c r="A145" s="12" t="s">
        <v>536</v>
      </c>
      <c r="B145" s="13" t="s">
        <v>33</v>
      </c>
      <c r="C145" s="48" t="s">
        <v>549</v>
      </c>
      <c r="D145" s="49"/>
      <c r="E145" s="49" t="s">
        <v>550</v>
      </c>
      <c r="F145" s="49" t="s">
        <v>142</v>
      </c>
      <c r="G145" s="49" t="s">
        <v>349</v>
      </c>
      <c r="H145" s="56"/>
      <c r="I145" s="56"/>
    </row>
    <row r="148" customFormat="false" ht="23.25" hidden="false" customHeight="true" outlineLevel="0" collapsed="false">
      <c r="A148" s="7" t="s">
        <v>45</v>
      </c>
      <c r="B148" s="8" t="s">
        <v>1</v>
      </c>
      <c r="C148" s="45" t="s">
        <v>51</v>
      </c>
      <c r="D148" s="46" t="s">
        <v>498</v>
      </c>
      <c r="E148" s="46" t="s">
        <v>417</v>
      </c>
      <c r="F148" s="46" t="s">
        <v>53</v>
      </c>
      <c r="G148" s="46" t="s">
        <v>418</v>
      </c>
      <c r="H148" s="54"/>
      <c r="I148" s="54"/>
    </row>
    <row r="149" customFormat="false" ht="34.5" hidden="false" customHeight="true" outlineLevel="0" collapsed="false">
      <c r="A149" s="12" t="s">
        <v>551</v>
      </c>
      <c r="B149" s="13" t="s">
        <v>37</v>
      </c>
      <c r="C149" s="48" t="s">
        <v>511</v>
      </c>
      <c r="D149" s="49" t="s">
        <v>512</v>
      </c>
      <c r="E149" s="49" t="s">
        <v>513</v>
      </c>
      <c r="F149" s="49" t="s">
        <v>115</v>
      </c>
      <c r="G149" s="49" t="s">
        <v>345</v>
      </c>
      <c r="H149" s="56"/>
      <c r="I149" s="56"/>
    </row>
    <row r="150" customFormat="false" ht="34.5" hidden="false" customHeight="true" outlineLevel="0" collapsed="false">
      <c r="A150" s="12" t="s">
        <v>551</v>
      </c>
      <c r="B150" s="13" t="s">
        <v>36</v>
      </c>
      <c r="C150" s="48" t="s">
        <v>552</v>
      </c>
      <c r="D150" s="49" t="s">
        <v>553</v>
      </c>
      <c r="E150" s="49" t="s">
        <v>554</v>
      </c>
      <c r="F150" s="49" t="s">
        <v>107</v>
      </c>
      <c r="G150" s="49" t="s">
        <v>175</v>
      </c>
      <c r="H150" s="56"/>
      <c r="I150" s="56"/>
    </row>
    <row r="151" customFormat="false" ht="34.5" hidden="false" customHeight="true" outlineLevel="0" collapsed="false">
      <c r="A151" s="12" t="s">
        <v>551</v>
      </c>
      <c r="B151" s="13" t="s">
        <v>37</v>
      </c>
      <c r="C151" s="48" t="s">
        <v>511</v>
      </c>
      <c r="D151" s="49" t="s">
        <v>512</v>
      </c>
      <c r="E151" s="49" t="s">
        <v>513</v>
      </c>
      <c r="F151" s="49" t="s">
        <v>107</v>
      </c>
      <c r="G151" s="49" t="s">
        <v>175</v>
      </c>
      <c r="H151" s="56"/>
      <c r="I151" s="56"/>
    </row>
    <row r="152" customFormat="false" ht="34.5" hidden="false" customHeight="true" outlineLevel="0" collapsed="false">
      <c r="A152" s="12" t="s">
        <v>551</v>
      </c>
      <c r="B152" s="13" t="s">
        <v>37</v>
      </c>
      <c r="C152" s="48" t="s">
        <v>555</v>
      </c>
      <c r="D152" s="49" t="s">
        <v>556</v>
      </c>
      <c r="E152" s="49" t="s">
        <v>557</v>
      </c>
      <c r="F152" s="49" t="s">
        <v>115</v>
      </c>
      <c r="G152" s="49" t="s">
        <v>349</v>
      </c>
      <c r="H152" s="56"/>
      <c r="I152" s="5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&amp;KffffffSayfa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66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558" activeCellId="0" sqref="B558"/>
    </sheetView>
  </sheetViews>
  <sheetFormatPr defaultColWidth="11.53515625" defaultRowHeight="13.5" zeroHeight="false" outlineLevelRow="0" outlineLevelCol="0"/>
  <cols>
    <col collapsed="false" customWidth="true" hidden="false" outlineLevel="0" max="1" min="1" style="4" width="37.51"/>
    <col collapsed="false" customWidth="true" hidden="false" outlineLevel="0" max="2" min="2" style="4" width="22"/>
    <col collapsed="false" customWidth="true" hidden="false" outlineLevel="0" max="3" min="3" style="4" width="25.01"/>
    <col collapsed="false" customWidth="true" hidden="false" outlineLevel="0" max="4" min="4" style="4" width="32.09"/>
    <col collapsed="false" customWidth="true" hidden="false" outlineLevel="0" max="5" min="5" style="4" width="25.84"/>
    <col collapsed="false" customWidth="true" hidden="false" outlineLevel="0" max="6" min="6" style="4" width="16.11"/>
    <col collapsed="false" customWidth="true" hidden="false" outlineLevel="0" max="7" min="7" style="4" width="14.43"/>
    <col collapsed="false" customWidth="true" hidden="false" outlineLevel="0" max="8" min="8" style="4" width="14.03"/>
    <col collapsed="false" customWidth="true" hidden="false" outlineLevel="0" max="9" min="9" style="4" width="15.14"/>
    <col collapsed="false" customWidth="true" hidden="false" outlineLevel="0" max="10" min="10" style="4" width="12.64"/>
    <col collapsed="false" customWidth="false" hidden="false" outlineLevel="0" max="1024" min="11" style="4" width="11.52"/>
  </cols>
  <sheetData>
    <row r="2" customFormat="false" ht="23.25" hidden="false" customHeight="true" outlineLevel="0" collapsed="false">
      <c r="A2" s="57" t="s">
        <v>45</v>
      </c>
      <c r="B2" s="45" t="s">
        <v>1</v>
      </c>
      <c r="C2" s="45" t="s">
        <v>51</v>
      </c>
      <c r="D2" s="46" t="s">
        <v>52</v>
      </c>
      <c r="E2" s="46" t="s">
        <v>558</v>
      </c>
      <c r="F2" s="46" t="s">
        <v>54</v>
      </c>
      <c r="G2" s="46" t="s">
        <v>559</v>
      </c>
      <c r="H2" s="46" t="s">
        <v>53</v>
      </c>
      <c r="I2" s="46" t="s">
        <v>560</v>
      </c>
      <c r="J2" s="47" t="s">
        <v>561</v>
      </c>
    </row>
    <row r="3" customFormat="false" ht="23.25" hidden="false" customHeight="true" outlineLevel="0" collapsed="false">
      <c r="A3" s="12" t="s">
        <v>562</v>
      </c>
      <c r="B3" s="13" t="s">
        <v>27</v>
      </c>
      <c r="C3" s="48" t="s">
        <v>563</v>
      </c>
      <c r="D3" s="49" t="s">
        <v>564</v>
      </c>
      <c r="E3" s="49" t="s">
        <v>565</v>
      </c>
      <c r="F3" s="49" t="s">
        <v>143</v>
      </c>
      <c r="G3" s="49" t="s">
        <v>142</v>
      </c>
      <c r="H3" s="49" t="s">
        <v>142</v>
      </c>
      <c r="I3" s="58" t="n">
        <v>3825</v>
      </c>
      <c r="J3" s="50" t="n">
        <v>0</v>
      </c>
    </row>
    <row r="4" customFormat="false" ht="23.25" hidden="false" customHeight="true" outlineLevel="0" collapsed="false">
      <c r="A4" s="12" t="s">
        <v>562</v>
      </c>
      <c r="B4" s="13" t="s">
        <v>27</v>
      </c>
      <c r="C4" s="48" t="s">
        <v>563</v>
      </c>
      <c r="D4" s="49" t="s">
        <v>564</v>
      </c>
      <c r="E4" s="49" t="s">
        <v>566</v>
      </c>
      <c r="F4" s="49" t="s">
        <v>279</v>
      </c>
      <c r="G4" s="49" t="s">
        <v>142</v>
      </c>
      <c r="H4" s="49" t="s">
        <v>142</v>
      </c>
      <c r="I4" s="58" t="n">
        <v>3753</v>
      </c>
      <c r="J4" s="50" t="n">
        <v>0</v>
      </c>
    </row>
    <row r="5" customFormat="false" ht="23.25" hidden="false" customHeight="true" outlineLevel="0" collapsed="false">
      <c r="A5" s="12" t="s">
        <v>562</v>
      </c>
      <c r="B5" s="13" t="s">
        <v>28</v>
      </c>
      <c r="C5" s="48" t="s">
        <v>355</v>
      </c>
      <c r="D5" s="49" t="s">
        <v>356</v>
      </c>
      <c r="E5" s="49" t="s">
        <v>567</v>
      </c>
      <c r="F5" s="49" t="s">
        <v>349</v>
      </c>
      <c r="G5" s="49" t="s">
        <v>115</v>
      </c>
      <c r="H5" s="49" t="s">
        <v>115</v>
      </c>
      <c r="I5" s="58" t="n">
        <v>32435.69</v>
      </c>
      <c r="J5" s="50" t="n">
        <v>0</v>
      </c>
    </row>
    <row r="6" customFormat="false" ht="23.25" hidden="false" customHeight="true" outlineLevel="0" collapsed="false">
      <c r="A6" s="12" t="s">
        <v>562</v>
      </c>
      <c r="B6" s="13" t="s">
        <v>28</v>
      </c>
      <c r="C6" s="48" t="s">
        <v>355</v>
      </c>
      <c r="D6" s="49" t="s">
        <v>356</v>
      </c>
      <c r="E6" s="49" t="s">
        <v>568</v>
      </c>
      <c r="F6" s="49" t="s">
        <v>187</v>
      </c>
      <c r="G6" s="49" t="s">
        <v>115</v>
      </c>
      <c r="H6" s="49" t="s">
        <v>115</v>
      </c>
      <c r="I6" s="58" t="n">
        <v>17915.69</v>
      </c>
      <c r="J6" s="50" t="n">
        <v>0</v>
      </c>
    </row>
    <row r="7" customFormat="false" ht="23.25" hidden="false" customHeight="true" outlineLevel="0" collapsed="false">
      <c r="A7" s="12" t="s">
        <v>562</v>
      </c>
      <c r="B7" s="13" t="s">
        <v>28</v>
      </c>
      <c r="C7" s="48" t="s">
        <v>355</v>
      </c>
      <c r="D7" s="49" t="s">
        <v>356</v>
      </c>
      <c r="E7" s="49" t="s">
        <v>569</v>
      </c>
      <c r="F7" s="49" t="s">
        <v>190</v>
      </c>
      <c r="G7" s="49" t="s">
        <v>115</v>
      </c>
      <c r="H7" s="49" t="s">
        <v>115</v>
      </c>
      <c r="I7" s="58" t="n">
        <v>10631.63</v>
      </c>
      <c r="J7" s="50" t="n">
        <v>0</v>
      </c>
    </row>
    <row r="8" customFormat="false" ht="23.25" hidden="false" customHeight="true" outlineLevel="0" collapsed="false">
      <c r="A8" s="12" t="s">
        <v>562</v>
      </c>
      <c r="B8" s="13" t="s">
        <v>28</v>
      </c>
      <c r="C8" s="48" t="s">
        <v>355</v>
      </c>
      <c r="D8" s="49" t="s">
        <v>356</v>
      </c>
      <c r="E8" s="49" t="s">
        <v>570</v>
      </c>
      <c r="F8" s="49" t="s">
        <v>192</v>
      </c>
      <c r="G8" s="49" t="s">
        <v>115</v>
      </c>
      <c r="H8" s="49" t="s">
        <v>115</v>
      </c>
      <c r="I8" s="58" t="n">
        <v>17114.18</v>
      </c>
      <c r="J8" s="50" t="n">
        <v>0</v>
      </c>
    </row>
    <row r="9" customFormat="false" ht="34.5" hidden="false" customHeight="true" outlineLevel="0" collapsed="false">
      <c r="A9" s="12" t="s">
        <v>562</v>
      </c>
      <c r="B9" s="13" t="s">
        <v>28</v>
      </c>
      <c r="C9" s="48" t="s">
        <v>571</v>
      </c>
      <c r="D9" s="49" t="s">
        <v>572</v>
      </c>
      <c r="E9" s="49" t="s">
        <v>573</v>
      </c>
      <c r="F9" s="49" t="s">
        <v>187</v>
      </c>
      <c r="G9" s="49" t="s">
        <v>142</v>
      </c>
      <c r="H9" s="49" t="s">
        <v>142</v>
      </c>
      <c r="I9" s="58" t="n">
        <v>1634.38</v>
      </c>
      <c r="J9" s="50" t="n">
        <v>0</v>
      </c>
    </row>
    <row r="10" customFormat="false" ht="45.75" hidden="false" customHeight="true" outlineLevel="0" collapsed="false">
      <c r="A10" s="12" t="s">
        <v>562</v>
      </c>
      <c r="B10" s="13" t="s">
        <v>28</v>
      </c>
      <c r="C10" s="48" t="s">
        <v>574</v>
      </c>
      <c r="D10" s="49" t="s">
        <v>575</v>
      </c>
      <c r="E10" s="49" t="s">
        <v>576</v>
      </c>
      <c r="F10" s="49" t="s">
        <v>149</v>
      </c>
      <c r="G10" s="49" t="s">
        <v>142</v>
      </c>
      <c r="H10" s="49" t="s">
        <v>142</v>
      </c>
      <c r="I10" s="58" t="n">
        <v>89652.08</v>
      </c>
      <c r="J10" s="50" t="n">
        <v>0</v>
      </c>
    </row>
    <row r="11" customFormat="false" ht="45.75" hidden="false" customHeight="true" outlineLevel="0" collapsed="false">
      <c r="A11" s="12" t="s">
        <v>562</v>
      </c>
      <c r="B11" s="13" t="s">
        <v>28</v>
      </c>
      <c r="C11" s="48" t="s">
        <v>574</v>
      </c>
      <c r="D11" s="49" t="s">
        <v>575</v>
      </c>
      <c r="E11" s="49" t="s">
        <v>577</v>
      </c>
      <c r="F11" s="49" t="s">
        <v>143</v>
      </c>
      <c r="G11" s="49" t="s">
        <v>142</v>
      </c>
      <c r="H11" s="49" t="s">
        <v>142</v>
      </c>
      <c r="I11" s="58" t="n">
        <v>67610.7</v>
      </c>
      <c r="J11" s="50" t="n">
        <v>0</v>
      </c>
    </row>
    <row r="12" customFormat="false" ht="23.25" hidden="false" customHeight="true" outlineLevel="0" collapsed="false">
      <c r="A12" s="12" t="s">
        <v>562</v>
      </c>
      <c r="B12" s="13" t="s">
        <v>28</v>
      </c>
      <c r="C12" s="48" t="s">
        <v>578</v>
      </c>
      <c r="D12" s="49" t="s">
        <v>579</v>
      </c>
      <c r="E12" s="49" t="s">
        <v>580</v>
      </c>
      <c r="F12" s="49" t="s">
        <v>187</v>
      </c>
      <c r="G12" s="49" t="s">
        <v>115</v>
      </c>
      <c r="H12" s="49" t="s">
        <v>115</v>
      </c>
      <c r="I12" s="58" t="n">
        <v>82500</v>
      </c>
      <c r="J12" s="50" t="n">
        <v>0</v>
      </c>
    </row>
    <row r="13" customFormat="false" ht="23.25" hidden="false" customHeight="true" outlineLevel="0" collapsed="false">
      <c r="A13" s="12" t="s">
        <v>562</v>
      </c>
      <c r="B13" s="13" t="s">
        <v>29</v>
      </c>
      <c r="C13" s="48" t="s">
        <v>581</v>
      </c>
      <c r="D13" s="49" t="s">
        <v>582</v>
      </c>
      <c r="E13" s="49" t="s">
        <v>583</v>
      </c>
      <c r="F13" s="49" t="s">
        <v>345</v>
      </c>
      <c r="G13" s="49" t="s">
        <v>115</v>
      </c>
      <c r="H13" s="49" t="s">
        <v>115</v>
      </c>
      <c r="I13" s="58" t="n">
        <v>53389.58</v>
      </c>
      <c r="J13" s="50" t="n">
        <v>0</v>
      </c>
    </row>
    <row r="14" customFormat="false" ht="23.25" hidden="false" customHeight="true" outlineLevel="0" collapsed="false">
      <c r="A14" s="12" t="s">
        <v>562</v>
      </c>
      <c r="B14" s="13" t="s">
        <v>29</v>
      </c>
      <c r="C14" s="48" t="s">
        <v>584</v>
      </c>
      <c r="D14" s="49" t="s">
        <v>585</v>
      </c>
      <c r="E14" s="49" t="s">
        <v>586</v>
      </c>
      <c r="F14" s="49" t="s">
        <v>587</v>
      </c>
      <c r="G14" s="49" t="s">
        <v>142</v>
      </c>
      <c r="H14" s="49" t="s">
        <v>142</v>
      </c>
      <c r="I14" s="58" t="n">
        <v>3103.86</v>
      </c>
      <c r="J14" s="50" t="n">
        <v>0</v>
      </c>
    </row>
    <row r="15" customFormat="false" ht="23.25" hidden="false" customHeight="true" outlineLevel="0" collapsed="false">
      <c r="A15" s="12" t="s">
        <v>562</v>
      </c>
      <c r="B15" s="13" t="s">
        <v>31</v>
      </c>
      <c r="C15" s="48" t="s">
        <v>588</v>
      </c>
      <c r="D15" s="49" t="s">
        <v>589</v>
      </c>
      <c r="E15" s="49" t="s">
        <v>590</v>
      </c>
      <c r="F15" s="49" t="s">
        <v>143</v>
      </c>
      <c r="G15" s="49" t="s">
        <v>142</v>
      </c>
      <c r="H15" s="49" t="s">
        <v>142</v>
      </c>
      <c r="I15" s="58" t="n">
        <v>40803.07</v>
      </c>
      <c r="J15" s="50" t="n">
        <v>0</v>
      </c>
    </row>
    <row r="16" customFormat="false" ht="23.25" hidden="false" customHeight="true" outlineLevel="0" collapsed="false">
      <c r="A16" s="12" t="s">
        <v>562</v>
      </c>
      <c r="B16" s="13" t="s">
        <v>31</v>
      </c>
      <c r="C16" s="48" t="s">
        <v>588</v>
      </c>
      <c r="D16" s="49" t="s">
        <v>589</v>
      </c>
      <c r="E16" s="49" t="s">
        <v>591</v>
      </c>
      <c r="F16" s="49" t="s">
        <v>279</v>
      </c>
      <c r="G16" s="49" t="s">
        <v>142</v>
      </c>
      <c r="H16" s="49" t="s">
        <v>142</v>
      </c>
      <c r="I16" s="58" t="n">
        <v>35281.1</v>
      </c>
      <c r="J16" s="50" t="n">
        <v>0</v>
      </c>
    </row>
    <row r="17" customFormat="false" ht="23.25" hidden="false" customHeight="true" outlineLevel="0" collapsed="false">
      <c r="A17" s="12" t="s">
        <v>562</v>
      </c>
      <c r="B17" s="13" t="s">
        <v>31</v>
      </c>
      <c r="C17" s="48" t="s">
        <v>592</v>
      </c>
      <c r="D17" s="49" t="s">
        <v>593</v>
      </c>
      <c r="E17" s="49" t="s">
        <v>594</v>
      </c>
      <c r="F17" s="49" t="s">
        <v>149</v>
      </c>
      <c r="G17" s="49" t="s">
        <v>115</v>
      </c>
      <c r="H17" s="49" t="s">
        <v>115</v>
      </c>
      <c r="I17" s="58" t="n">
        <v>40308.72</v>
      </c>
      <c r="J17" s="50" t="n">
        <v>0</v>
      </c>
    </row>
    <row r="18" customFormat="false" ht="23.25" hidden="false" customHeight="true" outlineLevel="0" collapsed="false">
      <c r="A18" s="12" t="s">
        <v>562</v>
      </c>
      <c r="B18" s="13" t="s">
        <v>31</v>
      </c>
      <c r="C18" s="48" t="s">
        <v>592</v>
      </c>
      <c r="D18" s="49" t="s">
        <v>593</v>
      </c>
      <c r="E18" s="49" t="s">
        <v>595</v>
      </c>
      <c r="F18" s="49" t="s">
        <v>143</v>
      </c>
      <c r="G18" s="49" t="s">
        <v>115</v>
      </c>
      <c r="H18" s="49" t="s">
        <v>115</v>
      </c>
      <c r="I18" s="58" t="n">
        <v>131194.78</v>
      </c>
      <c r="J18" s="50" t="n">
        <v>0</v>
      </c>
    </row>
    <row r="19" customFormat="false" ht="23.25" hidden="false" customHeight="true" outlineLevel="0" collapsed="false">
      <c r="A19" s="12" t="s">
        <v>562</v>
      </c>
      <c r="B19" s="13" t="s">
        <v>31</v>
      </c>
      <c r="C19" s="59" t="s">
        <v>596</v>
      </c>
      <c r="D19" s="60" t="s">
        <v>597</v>
      </c>
      <c r="E19" s="60" t="s">
        <v>598</v>
      </c>
      <c r="F19" s="60" t="s">
        <v>279</v>
      </c>
      <c r="G19" s="60" t="s">
        <v>115</v>
      </c>
      <c r="H19" s="60" t="s">
        <v>115</v>
      </c>
      <c r="I19" s="61" t="n">
        <v>450.83</v>
      </c>
      <c r="J19" s="62" t="n">
        <v>0</v>
      </c>
    </row>
    <row r="20" customFormat="false" ht="23.25" hidden="false" customHeight="true" outlineLevel="0" collapsed="false">
      <c r="A20" s="12" t="s">
        <v>562</v>
      </c>
      <c r="B20" s="13" t="s">
        <v>32</v>
      </c>
      <c r="C20" s="48" t="s">
        <v>599</v>
      </c>
      <c r="D20" s="49" t="s">
        <v>600</v>
      </c>
      <c r="E20" s="49" t="s">
        <v>601</v>
      </c>
      <c r="F20" s="49" t="s">
        <v>190</v>
      </c>
      <c r="G20" s="49" t="s">
        <v>115</v>
      </c>
      <c r="H20" s="49" t="s">
        <v>115</v>
      </c>
      <c r="I20" s="58" t="n">
        <v>2540</v>
      </c>
      <c r="J20" s="50" t="n">
        <v>0</v>
      </c>
    </row>
    <row r="21" customFormat="false" ht="23.25" hidden="false" customHeight="true" outlineLevel="0" collapsed="false">
      <c r="A21" s="12" t="s">
        <v>562</v>
      </c>
      <c r="B21" s="13" t="s">
        <v>32</v>
      </c>
      <c r="C21" s="48" t="s">
        <v>599</v>
      </c>
      <c r="D21" s="49" t="s">
        <v>600</v>
      </c>
      <c r="E21" s="49" t="s">
        <v>602</v>
      </c>
      <c r="F21" s="49" t="s">
        <v>192</v>
      </c>
      <c r="G21" s="49" t="s">
        <v>115</v>
      </c>
      <c r="H21" s="49" t="s">
        <v>115</v>
      </c>
      <c r="I21" s="58" t="n">
        <v>11683</v>
      </c>
      <c r="J21" s="50" t="n">
        <v>0</v>
      </c>
    </row>
    <row r="22" customFormat="false" ht="23.25" hidden="false" customHeight="true" outlineLevel="0" collapsed="false">
      <c r="A22" s="12" t="s">
        <v>562</v>
      </c>
      <c r="B22" s="13" t="s">
        <v>34</v>
      </c>
      <c r="C22" s="48" t="s">
        <v>603</v>
      </c>
      <c r="D22" s="49" t="s">
        <v>604</v>
      </c>
      <c r="E22" s="49" t="s">
        <v>605</v>
      </c>
      <c r="F22" s="49" t="s">
        <v>606</v>
      </c>
      <c r="G22" s="49" t="s">
        <v>115</v>
      </c>
      <c r="H22" s="49" t="s">
        <v>115</v>
      </c>
      <c r="I22" s="58" t="n">
        <v>1698.44</v>
      </c>
      <c r="J22" s="50" t="n">
        <v>0</v>
      </c>
    </row>
    <row r="23" customFormat="false" ht="23.25" hidden="false" customHeight="true" outlineLevel="0" collapsed="false">
      <c r="A23" s="12" t="s">
        <v>562</v>
      </c>
      <c r="B23" s="13" t="s">
        <v>34</v>
      </c>
      <c r="C23" s="48" t="s">
        <v>603</v>
      </c>
      <c r="D23" s="49" t="s">
        <v>604</v>
      </c>
      <c r="E23" s="49" t="s">
        <v>607</v>
      </c>
      <c r="F23" s="49" t="s">
        <v>587</v>
      </c>
      <c r="G23" s="49" t="s">
        <v>115</v>
      </c>
      <c r="H23" s="49" t="s">
        <v>115</v>
      </c>
      <c r="I23" s="58" t="n">
        <v>1015.72</v>
      </c>
      <c r="J23" s="50" t="n">
        <v>0</v>
      </c>
    </row>
    <row r="24" customFormat="false" ht="23.25" hidden="false" customHeight="true" outlineLevel="0" collapsed="false">
      <c r="A24" s="12" t="s">
        <v>562</v>
      </c>
      <c r="B24" s="13" t="s">
        <v>34</v>
      </c>
      <c r="C24" s="48" t="s">
        <v>608</v>
      </c>
      <c r="D24" s="49" t="s">
        <v>609</v>
      </c>
      <c r="E24" s="49" t="s">
        <v>610</v>
      </c>
      <c r="F24" s="49" t="s">
        <v>606</v>
      </c>
      <c r="G24" s="49" t="s">
        <v>115</v>
      </c>
      <c r="H24" s="49" t="s">
        <v>115</v>
      </c>
      <c r="I24" s="58" t="n">
        <v>52.5</v>
      </c>
      <c r="J24" s="50" t="n">
        <v>0</v>
      </c>
    </row>
    <row r="25" customFormat="false" ht="23.25" hidden="false" customHeight="true" outlineLevel="0" collapsed="false">
      <c r="A25" s="12" t="s">
        <v>562</v>
      </c>
      <c r="B25" s="13" t="s">
        <v>34</v>
      </c>
      <c r="C25" s="48" t="s">
        <v>611</v>
      </c>
      <c r="D25" s="49" t="s">
        <v>612</v>
      </c>
      <c r="E25" s="49" t="s">
        <v>613</v>
      </c>
      <c r="F25" s="49" t="s">
        <v>587</v>
      </c>
      <c r="G25" s="49" t="s">
        <v>115</v>
      </c>
      <c r="H25" s="49" t="s">
        <v>115</v>
      </c>
      <c r="I25" s="58" t="n">
        <v>189.15</v>
      </c>
      <c r="J25" s="50" t="n">
        <v>0</v>
      </c>
    </row>
    <row r="26" customFormat="false" ht="23.25" hidden="false" customHeight="true" outlineLevel="0" collapsed="false">
      <c r="A26" s="12" t="s">
        <v>562</v>
      </c>
      <c r="B26" s="13" t="s">
        <v>34</v>
      </c>
      <c r="C26" s="48" t="s">
        <v>611</v>
      </c>
      <c r="D26" s="49" t="s">
        <v>612</v>
      </c>
      <c r="E26" s="49" t="s">
        <v>614</v>
      </c>
      <c r="F26" s="49" t="s">
        <v>615</v>
      </c>
      <c r="G26" s="49" t="s">
        <v>115</v>
      </c>
      <c r="H26" s="49" t="s">
        <v>115</v>
      </c>
      <c r="I26" s="58" t="n">
        <v>41.25</v>
      </c>
      <c r="J26" s="50" t="n">
        <v>0</v>
      </c>
    </row>
    <row r="27" customFormat="false" ht="23.25" hidden="false" customHeight="true" outlineLevel="0" collapsed="false">
      <c r="A27" s="12" t="s">
        <v>562</v>
      </c>
      <c r="B27" s="13" t="s">
        <v>34</v>
      </c>
      <c r="C27" s="48" t="s">
        <v>611</v>
      </c>
      <c r="D27" s="49" t="s">
        <v>612</v>
      </c>
      <c r="E27" s="49" t="s">
        <v>616</v>
      </c>
      <c r="F27" s="49" t="s">
        <v>617</v>
      </c>
      <c r="G27" s="49" t="s">
        <v>115</v>
      </c>
      <c r="H27" s="49" t="s">
        <v>115</v>
      </c>
      <c r="I27" s="58" t="n">
        <v>38.4</v>
      </c>
      <c r="J27" s="50" t="n">
        <v>0</v>
      </c>
    </row>
    <row r="28" customFormat="false" ht="23.25" hidden="false" customHeight="true" outlineLevel="0" collapsed="false">
      <c r="A28" s="12" t="s">
        <v>562</v>
      </c>
      <c r="B28" s="13" t="s">
        <v>34</v>
      </c>
      <c r="C28" s="48" t="s">
        <v>611</v>
      </c>
      <c r="D28" s="49" t="s">
        <v>612</v>
      </c>
      <c r="E28" s="49" t="s">
        <v>618</v>
      </c>
      <c r="F28" s="49" t="s">
        <v>606</v>
      </c>
      <c r="G28" s="49" t="s">
        <v>115</v>
      </c>
      <c r="H28" s="49" t="s">
        <v>115</v>
      </c>
      <c r="I28" s="58" t="n">
        <v>270.75</v>
      </c>
      <c r="J28" s="50" t="n">
        <v>0</v>
      </c>
    </row>
    <row r="29" customFormat="false" ht="23.25" hidden="false" customHeight="true" outlineLevel="0" collapsed="false">
      <c r="A29" s="12" t="s">
        <v>562</v>
      </c>
      <c r="B29" s="13" t="s">
        <v>34</v>
      </c>
      <c r="C29" s="48" t="s">
        <v>619</v>
      </c>
      <c r="D29" s="49" t="s">
        <v>620</v>
      </c>
      <c r="E29" s="49" t="s">
        <v>621</v>
      </c>
      <c r="F29" s="49" t="s">
        <v>617</v>
      </c>
      <c r="G29" s="49" t="s">
        <v>115</v>
      </c>
      <c r="H29" s="49" t="s">
        <v>115</v>
      </c>
      <c r="I29" s="58" t="n">
        <v>170.08</v>
      </c>
      <c r="J29" s="50" t="n">
        <v>167.36</v>
      </c>
    </row>
    <row r="30" customFormat="false" ht="23.25" hidden="false" customHeight="true" outlineLevel="0" collapsed="false">
      <c r="A30" s="12" t="s">
        <v>562</v>
      </c>
      <c r="B30" s="13" t="s">
        <v>34</v>
      </c>
      <c r="C30" s="48" t="s">
        <v>622</v>
      </c>
      <c r="D30" s="49" t="s">
        <v>623</v>
      </c>
      <c r="E30" s="49" t="s">
        <v>624</v>
      </c>
      <c r="F30" s="49" t="s">
        <v>279</v>
      </c>
      <c r="G30" s="49" t="s">
        <v>115</v>
      </c>
      <c r="H30" s="49" t="s">
        <v>115</v>
      </c>
      <c r="I30" s="58" t="n">
        <v>21704.92</v>
      </c>
      <c r="J30" s="50" t="n">
        <v>0</v>
      </c>
    </row>
    <row r="31" customFormat="false" ht="34.5" hidden="false" customHeight="true" outlineLevel="0" collapsed="false">
      <c r="A31" s="12" t="s">
        <v>562</v>
      </c>
      <c r="B31" s="13" t="s">
        <v>35</v>
      </c>
      <c r="C31" s="48" t="s">
        <v>625</v>
      </c>
      <c r="D31" s="49" t="s">
        <v>626</v>
      </c>
      <c r="E31" s="49" t="s">
        <v>627</v>
      </c>
      <c r="F31" s="49" t="s">
        <v>149</v>
      </c>
      <c r="G31" s="49" t="s">
        <v>142</v>
      </c>
      <c r="H31" s="49" t="s">
        <v>142</v>
      </c>
      <c r="I31" s="58" t="n">
        <v>0.01</v>
      </c>
      <c r="J31" s="50" t="n">
        <v>0</v>
      </c>
    </row>
    <row r="32" customFormat="false" ht="23.25" hidden="false" customHeight="true" outlineLevel="0" collapsed="false">
      <c r="A32" s="12" t="s">
        <v>562</v>
      </c>
      <c r="B32" s="13" t="s">
        <v>35</v>
      </c>
      <c r="C32" s="48" t="s">
        <v>628</v>
      </c>
      <c r="D32" s="49" t="s">
        <v>629</v>
      </c>
      <c r="E32" s="49" t="s">
        <v>630</v>
      </c>
      <c r="F32" s="49" t="s">
        <v>617</v>
      </c>
      <c r="G32" s="49" t="s">
        <v>142</v>
      </c>
      <c r="H32" s="49" t="s">
        <v>142</v>
      </c>
      <c r="I32" s="58" t="n">
        <v>537.66</v>
      </c>
      <c r="J32" s="50" t="n">
        <v>0</v>
      </c>
    </row>
    <row r="33" customFormat="false" ht="23.25" hidden="false" customHeight="true" outlineLevel="0" collapsed="false">
      <c r="A33" s="12" t="s">
        <v>562</v>
      </c>
      <c r="B33" s="13" t="s">
        <v>35</v>
      </c>
      <c r="C33" s="48" t="s">
        <v>631</v>
      </c>
      <c r="D33" s="49" t="s">
        <v>632</v>
      </c>
      <c r="E33" s="49" t="s">
        <v>633</v>
      </c>
      <c r="F33" s="49" t="s">
        <v>617</v>
      </c>
      <c r="G33" s="49" t="s">
        <v>115</v>
      </c>
      <c r="H33" s="49" t="s">
        <v>115</v>
      </c>
      <c r="I33" s="58" t="n">
        <v>494.17</v>
      </c>
      <c r="J33" s="50" t="n">
        <v>0</v>
      </c>
    </row>
    <row r="34" customFormat="false" ht="23.25" hidden="false" customHeight="true" outlineLevel="0" collapsed="false">
      <c r="A34" s="12" t="s">
        <v>562</v>
      </c>
      <c r="B34" s="13" t="s">
        <v>35</v>
      </c>
      <c r="C34" s="59" t="s">
        <v>634</v>
      </c>
      <c r="D34" s="60" t="s">
        <v>635</v>
      </c>
      <c r="E34" s="60" t="s">
        <v>636</v>
      </c>
      <c r="F34" s="60" t="s">
        <v>349</v>
      </c>
      <c r="G34" s="60" t="s">
        <v>142</v>
      </c>
      <c r="H34" s="60" t="s">
        <v>142</v>
      </c>
      <c r="I34" s="61" t="n">
        <v>4781.17</v>
      </c>
      <c r="J34" s="62" t="n">
        <v>0</v>
      </c>
    </row>
    <row r="35" customFormat="false" ht="34.5" hidden="false" customHeight="true" outlineLevel="0" collapsed="false">
      <c r="A35" s="12" t="s">
        <v>562</v>
      </c>
      <c r="B35" s="13" t="s">
        <v>35</v>
      </c>
      <c r="C35" s="63" t="s">
        <v>637</v>
      </c>
      <c r="D35" s="64" t="s">
        <v>638</v>
      </c>
      <c r="E35" s="64" t="s">
        <v>639</v>
      </c>
      <c r="F35" s="64" t="s">
        <v>219</v>
      </c>
      <c r="G35" s="64" t="s">
        <v>142</v>
      </c>
      <c r="H35" s="64" t="s">
        <v>142</v>
      </c>
      <c r="I35" s="65" t="n">
        <v>1026</v>
      </c>
      <c r="J35" s="66" t="n">
        <v>0</v>
      </c>
    </row>
    <row r="36" customFormat="false" ht="34.5" hidden="false" customHeight="true" outlineLevel="0" collapsed="false">
      <c r="A36" s="12" t="s">
        <v>562</v>
      </c>
      <c r="B36" s="13" t="s">
        <v>35</v>
      </c>
      <c r="C36" s="63" t="s">
        <v>637</v>
      </c>
      <c r="D36" s="64" t="s">
        <v>638</v>
      </c>
      <c r="E36" s="64" t="s">
        <v>640</v>
      </c>
      <c r="F36" s="64" t="s">
        <v>116</v>
      </c>
      <c r="G36" s="64" t="s">
        <v>142</v>
      </c>
      <c r="H36" s="64" t="s">
        <v>142</v>
      </c>
      <c r="I36" s="65" t="n">
        <v>195618.78</v>
      </c>
      <c r="J36" s="66" t="n">
        <v>0</v>
      </c>
    </row>
    <row r="37" customFormat="false" ht="34.5" hidden="false" customHeight="true" outlineLevel="0" collapsed="false">
      <c r="A37" s="12" t="s">
        <v>562</v>
      </c>
      <c r="B37" s="13" t="s">
        <v>35</v>
      </c>
      <c r="C37" s="63" t="s">
        <v>637</v>
      </c>
      <c r="D37" s="64" t="s">
        <v>638</v>
      </c>
      <c r="E37" s="64" t="s">
        <v>641</v>
      </c>
      <c r="F37" s="64" t="s">
        <v>132</v>
      </c>
      <c r="G37" s="64" t="s">
        <v>142</v>
      </c>
      <c r="H37" s="64" t="s">
        <v>142</v>
      </c>
      <c r="I37" s="65" t="n">
        <v>146302.66</v>
      </c>
      <c r="J37" s="66" t="n">
        <v>0</v>
      </c>
    </row>
    <row r="38" customFormat="false" ht="23.25" hidden="false" customHeight="true" outlineLevel="0" collapsed="false">
      <c r="A38" s="12" t="s">
        <v>562</v>
      </c>
      <c r="B38" s="13" t="s">
        <v>35</v>
      </c>
      <c r="C38" s="48" t="s">
        <v>642</v>
      </c>
      <c r="D38" s="49" t="s">
        <v>643</v>
      </c>
      <c r="E38" s="49" t="s">
        <v>644</v>
      </c>
      <c r="F38" s="49" t="s">
        <v>345</v>
      </c>
      <c r="G38" s="49" t="s">
        <v>115</v>
      </c>
      <c r="H38" s="49" t="s">
        <v>115</v>
      </c>
      <c r="I38" s="58" t="n">
        <v>39572.27</v>
      </c>
      <c r="J38" s="50" t="n">
        <v>0</v>
      </c>
    </row>
    <row r="39" customFormat="false" ht="23.25" hidden="false" customHeight="true" outlineLevel="0" collapsed="false">
      <c r="A39" s="12" t="s">
        <v>562</v>
      </c>
      <c r="B39" s="13" t="s">
        <v>35</v>
      </c>
      <c r="C39" s="59" t="s">
        <v>645</v>
      </c>
      <c r="D39" s="60" t="s">
        <v>646</v>
      </c>
      <c r="E39" s="60" t="s">
        <v>647</v>
      </c>
      <c r="F39" s="60" t="s">
        <v>172</v>
      </c>
      <c r="G39" s="60" t="s">
        <v>115</v>
      </c>
      <c r="H39" s="60" t="s">
        <v>115</v>
      </c>
      <c r="I39" s="61" t="n">
        <v>354</v>
      </c>
      <c r="J39" s="62" t="n">
        <v>0</v>
      </c>
    </row>
    <row r="40" customFormat="false" ht="23.25" hidden="false" customHeight="true" outlineLevel="0" collapsed="false">
      <c r="A40" s="12" t="s">
        <v>562</v>
      </c>
      <c r="B40" s="13" t="s">
        <v>35</v>
      </c>
      <c r="C40" s="59" t="s">
        <v>645</v>
      </c>
      <c r="D40" s="60" t="s">
        <v>646</v>
      </c>
      <c r="E40" s="60" t="s">
        <v>648</v>
      </c>
      <c r="F40" s="60" t="s">
        <v>349</v>
      </c>
      <c r="G40" s="60" t="s">
        <v>115</v>
      </c>
      <c r="H40" s="60" t="s">
        <v>115</v>
      </c>
      <c r="I40" s="61" t="n">
        <v>160775.7</v>
      </c>
      <c r="J40" s="62" t="n">
        <v>0</v>
      </c>
    </row>
    <row r="41" customFormat="false" ht="23.25" hidden="false" customHeight="true" outlineLevel="0" collapsed="false">
      <c r="A41" s="12" t="s">
        <v>562</v>
      </c>
      <c r="B41" s="13" t="s">
        <v>35</v>
      </c>
      <c r="C41" s="59" t="s">
        <v>649</v>
      </c>
      <c r="D41" s="60" t="s">
        <v>650</v>
      </c>
      <c r="E41" s="60" t="s">
        <v>651</v>
      </c>
      <c r="F41" s="60" t="s">
        <v>187</v>
      </c>
      <c r="G41" s="60" t="s">
        <v>115</v>
      </c>
      <c r="H41" s="60" t="s">
        <v>115</v>
      </c>
      <c r="I41" s="61" t="n">
        <v>5796.54</v>
      </c>
      <c r="J41" s="62" t="n">
        <v>0</v>
      </c>
    </row>
    <row r="42" customFormat="false" ht="23.25" hidden="false" customHeight="true" outlineLevel="0" collapsed="false">
      <c r="A42" s="12" t="s">
        <v>562</v>
      </c>
      <c r="B42" s="13" t="s">
        <v>35</v>
      </c>
      <c r="C42" s="59" t="s">
        <v>649</v>
      </c>
      <c r="D42" s="60" t="s">
        <v>650</v>
      </c>
      <c r="E42" s="60" t="s">
        <v>652</v>
      </c>
      <c r="F42" s="60" t="s">
        <v>190</v>
      </c>
      <c r="G42" s="60" t="s">
        <v>115</v>
      </c>
      <c r="H42" s="60" t="s">
        <v>115</v>
      </c>
      <c r="I42" s="61" t="n">
        <v>4321.52</v>
      </c>
      <c r="J42" s="62" t="n">
        <v>0</v>
      </c>
    </row>
    <row r="43" customFormat="false" ht="23.25" hidden="false" customHeight="true" outlineLevel="0" collapsed="false">
      <c r="A43" s="12" t="s">
        <v>562</v>
      </c>
      <c r="B43" s="13" t="s">
        <v>36</v>
      </c>
      <c r="C43" s="63" t="s">
        <v>653</v>
      </c>
      <c r="D43" s="64" t="s">
        <v>654</v>
      </c>
      <c r="E43" s="64" t="s">
        <v>655</v>
      </c>
      <c r="F43" s="64" t="s">
        <v>190</v>
      </c>
      <c r="G43" s="64" t="s">
        <v>115</v>
      </c>
      <c r="H43" s="64" t="s">
        <v>115</v>
      </c>
      <c r="I43" s="65" t="n">
        <v>7233.7</v>
      </c>
      <c r="J43" s="66" t="n">
        <v>0</v>
      </c>
    </row>
    <row r="44" customFormat="false" ht="23.25" hidden="false" customHeight="true" outlineLevel="0" collapsed="false">
      <c r="A44" s="12" t="s">
        <v>562</v>
      </c>
      <c r="B44" s="13" t="s">
        <v>36</v>
      </c>
      <c r="C44" s="48" t="s">
        <v>656</v>
      </c>
      <c r="D44" s="49" t="s">
        <v>657</v>
      </c>
      <c r="E44" s="49" t="s">
        <v>658</v>
      </c>
      <c r="F44" s="49" t="s">
        <v>587</v>
      </c>
      <c r="G44" s="49" t="s">
        <v>115</v>
      </c>
      <c r="H44" s="49" t="s">
        <v>115</v>
      </c>
      <c r="I44" s="58" t="n">
        <v>27</v>
      </c>
      <c r="J44" s="50" t="n">
        <v>0</v>
      </c>
    </row>
    <row r="45" customFormat="false" ht="23.25" hidden="false" customHeight="true" outlineLevel="0" collapsed="false">
      <c r="A45" s="12" t="s">
        <v>562</v>
      </c>
      <c r="B45" s="13" t="s">
        <v>36</v>
      </c>
      <c r="C45" s="48" t="s">
        <v>659</v>
      </c>
      <c r="D45" s="49" t="s">
        <v>660</v>
      </c>
      <c r="E45" s="49" t="s">
        <v>661</v>
      </c>
      <c r="F45" s="49" t="s">
        <v>163</v>
      </c>
      <c r="G45" s="49" t="s">
        <v>115</v>
      </c>
      <c r="H45" s="49" t="s">
        <v>115</v>
      </c>
      <c r="I45" s="58" t="n">
        <v>327.93</v>
      </c>
      <c r="J45" s="50" t="n">
        <v>0</v>
      </c>
    </row>
    <row r="46" customFormat="false" ht="23.25" hidden="false" customHeight="true" outlineLevel="0" collapsed="false">
      <c r="A46" s="12" t="s">
        <v>562</v>
      </c>
      <c r="B46" s="13" t="s">
        <v>36</v>
      </c>
      <c r="C46" s="48" t="s">
        <v>659</v>
      </c>
      <c r="D46" s="49" t="s">
        <v>660</v>
      </c>
      <c r="E46" s="49" t="s">
        <v>662</v>
      </c>
      <c r="F46" s="49" t="s">
        <v>345</v>
      </c>
      <c r="G46" s="49" t="s">
        <v>115</v>
      </c>
      <c r="H46" s="49" t="s">
        <v>115</v>
      </c>
      <c r="I46" s="58" t="n">
        <v>781.48</v>
      </c>
      <c r="J46" s="50" t="n">
        <v>0</v>
      </c>
    </row>
    <row r="47" customFormat="false" ht="23.25" hidden="false" customHeight="true" outlineLevel="0" collapsed="false">
      <c r="A47" s="12" t="s">
        <v>562</v>
      </c>
      <c r="B47" s="13" t="s">
        <v>36</v>
      </c>
      <c r="C47" s="48" t="s">
        <v>659</v>
      </c>
      <c r="D47" s="49" t="s">
        <v>660</v>
      </c>
      <c r="E47" s="49" t="s">
        <v>663</v>
      </c>
      <c r="F47" s="49" t="s">
        <v>172</v>
      </c>
      <c r="G47" s="49" t="s">
        <v>115</v>
      </c>
      <c r="H47" s="49" t="s">
        <v>115</v>
      </c>
      <c r="I47" s="58" t="n">
        <v>5543.75</v>
      </c>
      <c r="J47" s="50" t="n">
        <v>0</v>
      </c>
    </row>
    <row r="48" customFormat="false" ht="23.25" hidden="false" customHeight="true" outlineLevel="0" collapsed="false">
      <c r="A48" s="12" t="s">
        <v>562</v>
      </c>
      <c r="B48" s="13" t="s">
        <v>36</v>
      </c>
      <c r="C48" s="48" t="s">
        <v>659</v>
      </c>
      <c r="D48" s="49" t="s">
        <v>660</v>
      </c>
      <c r="E48" s="49" t="s">
        <v>664</v>
      </c>
      <c r="F48" s="49" t="s">
        <v>349</v>
      </c>
      <c r="G48" s="49" t="s">
        <v>115</v>
      </c>
      <c r="H48" s="49" t="s">
        <v>115</v>
      </c>
      <c r="I48" s="58" t="n">
        <v>1332.46</v>
      </c>
      <c r="J48" s="50" t="n">
        <v>0</v>
      </c>
    </row>
    <row r="49" customFormat="false" ht="23.25" hidden="false" customHeight="true" outlineLevel="0" collapsed="false">
      <c r="A49" s="12" t="s">
        <v>562</v>
      </c>
      <c r="B49" s="13" t="s">
        <v>36</v>
      </c>
      <c r="C49" s="48" t="s">
        <v>659</v>
      </c>
      <c r="D49" s="49" t="s">
        <v>660</v>
      </c>
      <c r="E49" s="49" t="s">
        <v>665</v>
      </c>
      <c r="F49" s="49" t="s">
        <v>192</v>
      </c>
      <c r="G49" s="49" t="s">
        <v>115</v>
      </c>
      <c r="H49" s="49" t="s">
        <v>115</v>
      </c>
      <c r="I49" s="58" t="n">
        <v>5817.3</v>
      </c>
      <c r="J49" s="50" t="n">
        <v>0</v>
      </c>
    </row>
    <row r="50" customFormat="false" ht="34.5" hidden="false" customHeight="true" outlineLevel="0" collapsed="false">
      <c r="A50" s="12" t="s">
        <v>562</v>
      </c>
      <c r="B50" s="13" t="s">
        <v>36</v>
      </c>
      <c r="C50" s="48" t="s">
        <v>666</v>
      </c>
      <c r="D50" s="49" t="s">
        <v>667</v>
      </c>
      <c r="E50" s="49" t="s">
        <v>668</v>
      </c>
      <c r="F50" s="49" t="s">
        <v>617</v>
      </c>
      <c r="G50" s="49" t="s">
        <v>142</v>
      </c>
      <c r="H50" s="49" t="s">
        <v>142</v>
      </c>
      <c r="I50" s="58" t="n">
        <v>43034.82</v>
      </c>
      <c r="J50" s="50" t="n">
        <v>0</v>
      </c>
    </row>
    <row r="51" customFormat="false" ht="34.5" hidden="false" customHeight="true" outlineLevel="0" collapsed="false">
      <c r="A51" s="12" t="s">
        <v>562</v>
      </c>
      <c r="B51" s="13" t="s">
        <v>36</v>
      </c>
      <c r="C51" s="48" t="s">
        <v>666</v>
      </c>
      <c r="D51" s="49" t="s">
        <v>667</v>
      </c>
      <c r="E51" s="49" t="s">
        <v>669</v>
      </c>
      <c r="F51" s="49" t="s">
        <v>606</v>
      </c>
      <c r="G51" s="49" t="s">
        <v>142</v>
      </c>
      <c r="H51" s="49" t="s">
        <v>142</v>
      </c>
      <c r="I51" s="58" t="n">
        <v>18587.48</v>
      </c>
      <c r="J51" s="50" t="n">
        <v>0</v>
      </c>
    </row>
    <row r="52" customFormat="false" ht="34.5" hidden="false" customHeight="true" outlineLevel="0" collapsed="false">
      <c r="A52" s="12" t="s">
        <v>562</v>
      </c>
      <c r="B52" s="13" t="s">
        <v>36</v>
      </c>
      <c r="C52" s="48" t="s">
        <v>666</v>
      </c>
      <c r="D52" s="49" t="s">
        <v>667</v>
      </c>
      <c r="E52" s="49" t="s">
        <v>670</v>
      </c>
      <c r="F52" s="49" t="s">
        <v>187</v>
      </c>
      <c r="G52" s="49" t="s">
        <v>142</v>
      </c>
      <c r="H52" s="49" t="s">
        <v>142</v>
      </c>
      <c r="I52" s="58" t="n">
        <v>33066.87</v>
      </c>
      <c r="J52" s="50" t="n">
        <v>0</v>
      </c>
    </row>
    <row r="53" customFormat="false" ht="34.5" hidden="false" customHeight="true" outlineLevel="0" collapsed="false">
      <c r="A53" s="12" t="s">
        <v>562</v>
      </c>
      <c r="B53" s="13" t="s">
        <v>36</v>
      </c>
      <c r="C53" s="48" t="s">
        <v>666</v>
      </c>
      <c r="D53" s="49" t="s">
        <v>667</v>
      </c>
      <c r="E53" s="49" t="s">
        <v>671</v>
      </c>
      <c r="F53" s="49" t="s">
        <v>190</v>
      </c>
      <c r="G53" s="49" t="s">
        <v>142</v>
      </c>
      <c r="H53" s="49" t="s">
        <v>142</v>
      </c>
      <c r="I53" s="58" t="n">
        <v>52243.58</v>
      </c>
      <c r="J53" s="50" t="n">
        <v>0</v>
      </c>
    </row>
    <row r="54" customFormat="false" ht="34.5" hidden="false" customHeight="true" outlineLevel="0" collapsed="false">
      <c r="A54" s="12" t="s">
        <v>562</v>
      </c>
      <c r="B54" s="13" t="s">
        <v>36</v>
      </c>
      <c r="C54" s="48" t="s">
        <v>666</v>
      </c>
      <c r="D54" s="49" t="s">
        <v>667</v>
      </c>
      <c r="E54" s="49" t="s">
        <v>672</v>
      </c>
      <c r="F54" s="49" t="s">
        <v>192</v>
      </c>
      <c r="G54" s="49" t="s">
        <v>142</v>
      </c>
      <c r="H54" s="49" t="s">
        <v>142</v>
      </c>
      <c r="I54" s="58" t="n">
        <v>93752.88</v>
      </c>
      <c r="J54" s="50" t="n">
        <v>0</v>
      </c>
    </row>
    <row r="55" customFormat="false" ht="34.5" hidden="false" customHeight="true" outlineLevel="0" collapsed="false">
      <c r="A55" s="12" t="s">
        <v>562</v>
      </c>
      <c r="B55" s="13" t="s">
        <v>36</v>
      </c>
      <c r="C55" s="48" t="s">
        <v>666</v>
      </c>
      <c r="D55" s="49" t="s">
        <v>667</v>
      </c>
      <c r="E55" s="49" t="s">
        <v>673</v>
      </c>
      <c r="F55" s="49" t="s">
        <v>219</v>
      </c>
      <c r="G55" s="49" t="s">
        <v>142</v>
      </c>
      <c r="H55" s="49" t="s">
        <v>142</v>
      </c>
      <c r="I55" s="58" t="n">
        <v>101076.57</v>
      </c>
      <c r="J55" s="50" t="n">
        <v>0</v>
      </c>
    </row>
    <row r="56" customFormat="false" ht="34.5" hidden="false" customHeight="true" outlineLevel="0" collapsed="false">
      <c r="A56" s="12" t="s">
        <v>562</v>
      </c>
      <c r="B56" s="13" t="s">
        <v>36</v>
      </c>
      <c r="C56" s="48" t="s">
        <v>666</v>
      </c>
      <c r="D56" s="49" t="s">
        <v>667</v>
      </c>
      <c r="E56" s="49" t="s">
        <v>674</v>
      </c>
      <c r="F56" s="49" t="s">
        <v>116</v>
      </c>
      <c r="G56" s="49" t="s">
        <v>142</v>
      </c>
      <c r="H56" s="49" t="s">
        <v>142</v>
      </c>
      <c r="I56" s="58" t="n">
        <v>116759.89</v>
      </c>
      <c r="J56" s="50" t="n">
        <v>0</v>
      </c>
    </row>
    <row r="57" customFormat="false" ht="34.5" hidden="false" customHeight="true" outlineLevel="0" collapsed="false">
      <c r="A57" s="12" t="s">
        <v>562</v>
      </c>
      <c r="B57" s="13" t="s">
        <v>36</v>
      </c>
      <c r="C57" s="48" t="s">
        <v>666</v>
      </c>
      <c r="D57" s="49" t="s">
        <v>667</v>
      </c>
      <c r="E57" s="49" t="s">
        <v>675</v>
      </c>
      <c r="F57" s="49" t="s">
        <v>132</v>
      </c>
      <c r="G57" s="49" t="s">
        <v>142</v>
      </c>
      <c r="H57" s="49" t="s">
        <v>142</v>
      </c>
      <c r="I57" s="58" t="n">
        <v>243120.74</v>
      </c>
      <c r="J57" s="50" t="n">
        <v>0</v>
      </c>
    </row>
    <row r="58" customFormat="false" ht="23.25" hidden="false" customHeight="true" outlineLevel="0" collapsed="false">
      <c r="A58" s="12" t="s">
        <v>562</v>
      </c>
      <c r="B58" s="13" t="s">
        <v>36</v>
      </c>
      <c r="C58" s="48" t="s">
        <v>676</v>
      </c>
      <c r="D58" s="49" t="s">
        <v>677</v>
      </c>
      <c r="E58" s="49" t="s">
        <v>678</v>
      </c>
      <c r="F58" s="49" t="s">
        <v>219</v>
      </c>
      <c r="G58" s="49" t="s">
        <v>142</v>
      </c>
      <c r="H58" s="49" t="s">
        <v>142</v>
      </c>
      <c r="I58" s="58" t="n">
        <v>117216.12</v>
      </c>
      <c r="J58" s="50" t="n">
        <v>0</v>
      </c>
    </row>
    <row r="59" customFormat="false" ht="23.25" hidden="false" customHeight="true" outlineLevel="0" collapsed="false">
      <c r="A59" s="12" t="s">
        <v>562</v>
      </c>
      <c r="B59" s="13" t="s">
        <v>36</v>
      </c>
      <c r="C59" s="48" t="s">
        <v>676</v>
      </c>
      <c r="D59" s="49" t="s">
        <v>677</v>
      </c>
      <c r="E59" s="49" t="s">
        <v>679</v>
      </c>
      <c r="F59" s="49" t="s">
        <v>116</v>
      </c>
      <c r="G59" s="49" t="s">
        <v>142</v>
      </c>
      <c r="H59" s="49" t="s">
        <v>142</v>
      </c>
      <c r="I59" s="58" t="n">
        <v>12572.34</v>
      </c>
      <c r="J59" s="50" t="n">
        <v>0</v>
      </c>
    </row>
    <row r="60" customFormat="false" ht="23.25" hidden="false" customHeight="true" outlineLevel="0" collapsed="false">
      <c r="A60" s="12" t="s">
        <v>562</v>
      </c>
      <c r="B60" s="13" t="s">
        <v>36</v>
      </c>
      <c r="C60" s="48" t="s">
        <v>676</v>
      </c>
      <c r="D60" s="49" t="s">
        <v>677</v>
      </c>
      <c r="E60" s="49" t="s">
        <v>680</v>
      </c>
      <c r="F60" s="49" t="s">
        <v>132</v>
      </c>
      <c r="G60" s="49" t="s">
        <v>142</v>
      </c>
      <c r="H60" s="49" t="s">
        <v>142</v>
      </c>
      <c r="I60" s="58" t="n">
        <v>468521.33</v>
      </c>
      <c r="J60" s="50" t="n">
        <v>0</v>
      </c>
    </row>
    <row r="61" customFormat="false" ht="23.25" hidden="false" customHeight="true" outlineLevel="0" collapsed="false">
      <c r="A61" s="12" t="s">
        <v>562</v>
      </c>
      <c r="B61" s="13" t="s">
        <v>36</v>
      </c>
      <c r="C61" s="48" t="s">
        <v>676</v>
      </c>
      <c r="D61" s="49" t="s">
        <v>677</v>
      </c>
      <c r="E61" s="49" t="s">
        <v>681</v>
      </c>
      <c r="F61" s="49" t="s">
        <v>192</v>
      </c>
      <c r="G61" s="49" t="s">
        <v>142</v>
      </c>
      <c r="H61" s="49" t="s">
        <v>142</v>
      </c>
      <c r="I61" s="58" t="n">
        <v>17717.6</v>
      </c>
      <c r="J61" s="50" t="n">
        <v>0</v>
      </c>
    </row>
    <row r="62" customFormat="false" ht="23.25" hidden="false" customHeight="true" outlineLevel="0" collapsed="false">
      <c r="A62" s="12" t="s">
        <v>562</v>
      </c>
      <c r="B62" s="13" t="s">
        <v>36</v>
      </c>
      <c r="C62" s="48" t="s">
        <v>682</v>
      </c>
      <c r="D62" s="49" t="s">
        <v>683</v>
      </c>
      <c r="E62" s="49" t="s">
        <v>684</v>
      </c>
      <c r="F62" s="49" t="s">
        <v>587</v>
      </c>
      <c r="G62" s="49" t="s">
        <v>115</v>
      </c>
      <c r="H62" s="49" t="s">
        <v>115</v>
      </c>
      <c r="I62" s="58" t="n">
        <v>166.65</v>
      </c>
      <c r="J62" s="50" t="n">
        <v>0</v>
      </c>
    </row>
    <row r="63" customFormat="false" ht="23.25" hidden="false" customHeight="true" outlineLevel="0" collapsed="false">
      <c r="A63" s="12" t="s">
        <v>562</v>
      </c>
      <c r="B63" s="13" t="s">
        <v>36</v>
      </c>
      <c r="C63" s="48" t="s">
        <v>685</v>
      </c>
      <c r="D63" s="49" t="s">
        <v>686</v>
      </c>
      <c r="E63" s="49" t="s">
        <v>687</v>
      </c>
      <c r="F63" s="49" t="s">
        <v>149</v>
      </c>
      <c r="G63" s="49" t="s">
        <v>115</v>
      </c>
      <c r="H63" s="49" t="s">
        <v>115</v>
      </c>
      <c r="I63" s="58" t="n">
        <v>0.02</v>
      </c>
      <c r="J63" s="50" t="n">
        <v>0</v>
      </c>
    </row>
    <row r="64" customFormat="false" ht="23.25" hidden="false" customHeight="true" outlineLevel="0" collapsed="false">
      <c r="A64" s="12" t="s">
        <v>562</v>
      </c>
      <c r="B64" s="13" t="s">
        <v>36</v>
      </c>
      <c r="C64" s="48" t="s">
        <v>688</v>
      </c>
      <c r="D64" s="49" t="s">
        <v>689</v>
      </c>
      <c r="E64" s="49" t="s">
        <v>690</v>
      </c>
      <c r="F64" s="49" t="s">
        <v>349</v>
      </c>
      <c r="G64" s="49" t="s">
        <v>142</v>
      </c>
      <c r="H64" s="49" t="s">
        <v>142</v>
      </c>
      <c r="I64" s="58" t="n">
        <v>541.35</v>
      </c>
      <c r="J64" s="50" t="n">
        <v>0</v>
      </c>
    </row>
    <row r="65" customFormat="false" ht="23.25" hidden="false" customHeight="true" outlineLevel="0" collapsed="false">
      <c r="A65" s="12" t="s">
        <v>562</v>
      </c>
      <c r="B65" s="13" t="s">
        <v>36</v>
      </c>
      <c r="C65" s="48" t="s">
        <v>688</v>
      </c>
      <c r="D65" s="49" t="s">
        <v>689</v>
      </c>
      <c r="E65" s="49" t="s">
        <v>691</v>
      </c>
      <c r="F65" s="49" t="s">
        <v>187</v>
      </c>
      <c r="G65" s="49" t="s">
        <v>142</v>
      </c>
      <c r="H65" s="49" t="s">
        <v>142</v>
      </c>
      <c r="I65" s="58" t="n">
        <v>2235.6</v>
      </c>
      <c r="J65" s="50" t="n">
        <v>0</v>
      </c>
    </row>
    <row r="66" customFormat="false" ht="23.25" hidden="false" customHeight="true" outlineLevel="0" collapsed="false">
      <c r="A66" s="12" t="s">
        <v>562</v>
      </c>
      <c r="B66" s="13" t="s">
        <v>36</v>
      </c>
      <c r="C66" s="48" t="s">
        <v>688</v>
      </c>
      <c r="D66" s="49" t="s">
        <v>689</v>
      </c>
      <c r="E66" s="49" t="s">
        <v>692</v>
      </c>
      <c r="F66" s="49" t="s">
        <v>190</v>
      </c>
      <c r="G66" s="49" t="s">
        <v>142</v>
      </c>
      <c r="H66" s="49" t="s">
        <v>142</v>
      </c>
      <c r="I66" s="58" t="n">
        <v>3005.64</v>
      </c>
      <c r="J66" s="50" t="n">
        <v>0</v>
      </c>
    </row>
    <row r="67" customFormat="false" ht="23.25" hidden="false" customHeight="true" outlineLevel="0" collapsed="false">
      <c r="A67" s="12" t="s">
        <v>562</v>
      </c>
      <c r="B67" s="13" t="s">
        <v>36</v>
      </c>
      <c r="C67" s="48" t="s">
        <v>688</v>
      </c>
      <c r="D67" s="49" t="s">
        <v>689</v>
      </c>
      <c r="E67" s="49" t="s">
        <v>693</v>
      </c>
      <c r="F67" s="49" t="s">
        <v>192</v>
      </c>
      <c r="G67" s="49" t="s">
        <v>142</v>
      </c>
      <c r="H67" s="49" t="s">
        <v>142</v>
      </c>
      <c r="I67" s="58" t="n">
        <v>4804.4</v>
      </c>
      <c r="J67" s="50" t="n">
        <v>0</v>
      </c>
    </row>
    <row r="68" customFormat="false" ht="23.25" hidden="false" customHeight="true" outlineLevel="0" collapsed="false">
      <c r="A68" s="12" t="s">
        <v>562</v>
      </c>
      <c r="B68" s="13" t="s">
        <v>36</v>
      </c>
      <c r="C68" s="48" t="s">
        <v>688</v>
      </c>
      <c r="D68" s="49" t="s">
        <v>689</v>
      </c>
      <c r="E68" s="49" t="s">
        <v>694</v>
      </c>
      <c r="F68" s="49" t="s">
        <v>219</v>
      </c>
      <c r="G68" s="49" t="s">
        <v>142</v>
      </c>
      <c r="H68" s="49" t="s">
        <v>142</v>
      </c>
      <c r="I68" s="58" t="n">
        <v>2161.08</v>
      </c>
      <c r="J68" s="50" t="n">
        <v>0</v>
      </c>
    </row>
    <row r="69" customFormat="false" ht="23.25" hidden="false" customHeight="true" outlineLevel="0" collapsed="false">
      <c r="A69" s="12" t="s">
        <v>562</v>
      </c>
      <c r="B69" s="13" t="s">
        <v>36</v>
      </c>
      <c r="C69" s="48" t="s">
        <v>688</v>
      </c>
      <c r="D69" s="49" t="s">
        <v>689</v>
      </c>
      <c r="E69" s="49" t="s">
        <v>695</v>
      </c>
      <c r="F69" s="49" t="s">
        <v>116</v>
      </c>
      <c r="G69" s="49" t="s">
        <v>142</v>
      </c>
      <c r="H69" s="49" t="s">
        <v>142</v>
      </c>
      <c r="I69" s="58" t="n">
        <v>2594.16</v>
      </c>
      <c r="J69" s="50" t="n">
        <v>0</v>
      </c>
    </row>
    <row r="70" customFormat="false" ht="23.25" hidden="false" customHeight="true" outlineLevel="0" collapsed="false">
      <c r="A70" s="12" t="s">
        <v>562</v>
      </c>
      <c r="B70" s="13" t="s">
        <v>36</v>
      </c>
      <c r="C70" s="48" t="s">
        <v>688</v>
      </c>
      <c r="D70" s="49" t="s">
        <v>689</v>
      </c>
      <c r="E70" s="49" t="s">
        <v>696</v>
      </c>
      <c r="F70" s="49" t="s">
        <v>132</v>
      </c>
      <c r="G70" s="49" t="s">
        <v>142</v>
      </c>
      <c r="H70" s="49" t="s">
        <v>142</v>
      </c>
      <c r="I70" s="58" t="n">
        <v>5839.33</v>
      </c>
      <c r="J70" s="50" t="n">
        <v>0</v>
      </c>
    </row>
    <row r="71" customFormat="false" ht="23.25" hidden="false" customHeight="true" outlineLevel="0" collapsed="false">
      <c r="A71" s="12" t="s">
        <v>562</v>
      </c>
      <c r="B71" s="13" t="s">
        <v>36</v>
      </c>
      <c r="C71" s="63" t="s">
        <v>697</v>
      </c>
      <c r="D71" s="64" t="s">
        <v>698</v>
      </c>
      <c r="E71" s="64" t="s">
        <v>699</v>
      </c>
      <c r="F71" s="64" t="s">
        <v>143</v>
      </c>
      <c r="G71" s="64" t="s">
        <v>115</v>
      </c>
      <c r="H71" s="64" t="s">
        <v>115</v>
      </c>
      <c r="I71" s="65" t="n">
        <v>6364.49</v>
      </c>
      <c r="J71" s="66" t="n">
        <v>0</v>
      </c>
    </row>
    <row r="72" customFormat="false" ht="23.25" hidden="false" customHeight="true" outlineLevel="0" collapsed="false">
      <c r="A72" s="12" t="s">
        <v>562</v>
      </c>
      <c r="B72" s="13" t="s">
        <v>37</v>
      </c>
      <c r="C72" s="48" t="s">
        <v>700</v>
      </c>
      <c r="D72" s="49" t="s">
        <v>701</v>
      </c>
      <c r="E72" s="49" t="s">
        <v>702</v>
      </c>
      <c r="F72" s="49" t="s">
        <v>349</v>
      </c>
      <c r="G72" s="49" t="s">
        <v>115</v>
      </c>
      <c r="H72" s="49" t="s">
        <v>115</v>
      </c>
      <c r="I72" s="58" t="n">
        <v>13817.45</v>
      </c>
      <c r="J72" s="50" t="n">
        <v>0</v>
      </c>
    </row>
    <row r="73" customFormat="false" ht="23.25" hidden="false" customHeight="true" outlineLevel="0" collapsed="false">
      <c r="A73" s="12" t="s">
        <v>562</v>
      </c>
      <c r="B73" s="13" t="s">
        <v>37</v>
      </c>
      <c r="C73" s="48" t="s">
        <v>703</v>
      </c>
      <c r="D73" s="49" t="s">
        <v>704</v>
      </c>
      <c r="E73" s="49" t="s">
        <v>705</v>
      </c>
      <c r="F73" s="49" t="s">
        <v>587</v>
      </c>
      <c r="G73" s="49" t="s">
        <v>115</v>
      </c>
      <c r="H73" s="49" t="s">
        <v>115</v>
      </c>
      <c r="I73" s="58" t="n">
        <v>567</v>
      </c>
      <c r="J73" s="50" t="n">
        <v>0</v>
      </c>
    </row>
    <row r="74" customFormat="false" ht="23.25" hidden="false" customHeight="true" outlineLevel="0" collapsed="false">
      <c r="A74" s="12" t="s">
        <v>562</v>
      </c>
      <c r="B74" s="13" t="s">
        <v>37</v>
      </c>
      <c r="C74" s="48" t="s">
        <v>706</v>
      </c>
      <c r="D74" s="49" t="s">
        <v>707</v>
      </c>
      <c r="E74" s="49" t="s">
        <v>708</v>
      </c>
      <c r="F74" s="49" t="s">
        <v>606</v>
      </c>
      <c r="G74" s="49" t="s">
        <v>115</v>
      </c>
      <c r="H74" s="49" t="s">
        <v>115</v>
      </c>
      <c r="I74" s="58" t="n">
        <v>95.36</v>
      </c>
      <c r="J74" s="50" t="n">
        <v>0</v>
      </c>
    </row>
    <row r="75" customFormat="false" ht="23.25" hidden="false" customHeight="true" outlineLevel="0" collapsed="false">
      <c r="A75" s="12" t="s">
        <v>562</v>
      </c>
      <c r="B75" s="13" t="s">
        <v>37</v>
      </c>
      <c r="C75" s="48" t="s">
        <v>709</v>
      </c>
      <c r="D75" s="49" t="s">
        <v>710</v>
      </c>
      <c r="E75" s="49" t="s">
        <v>711</v>
      </c>
      <c r="F75" s="49" t="s">
        <v>606</v>
      </c>
      <c r="G75" s="49" t="s">
        <v>115</v>
      </c>
      <c r="H75" s="49" t="s">
        <v>115</v>
      </c>
      <c r="I75" s="58" t="n">
        <v>202.5</v>
      </c>
      <c r="J75" s="50" t="n">
        <v>0</v>
      </c>
    </row>
    <row r="76" customFormat="false" ht="23.25" hidden="false" customHeight="true" outlineLevel="0" collapsed="false">
      <c r="A76" s="12" t="s">
        <v>562</v>
      </c>
      <c r="B76" s="13" t="s">
        <v>37</v>
      </c>
      <c r="C76" s="48" t="s">
        <v>712</v>
      </c>
      <c r="D76" s="49" t="s">
        <v>713</v>
      </c>
      <c r="E76" s="49" t="s">
        <v>714</v>
      </c>
      <c r="F76" s="49" t="s">
        <v>587</v>
      </c>
      <c r="G76" s="49" t="s">
        <v>115</v>
      </c>
      <c r="H76" s="49" t="s">
        <v>115</v>
      </c>
      <c r="I76" s="58" t="n">
        <v>255.01</v>
      </c>
      <c r="J76" s="50" t="n">
        <v>0</v>
      </c>
    </row>
    <row r="77" customFormat="false" ht="23.25" hidden="false" customHeight="true" outlineLevel="0" collapsed="false">
      <c r="A77" s="12" t="s">
        <v>562</v>
      </c>
      <c r="B77" s="13" t="s">
        <v>37</v>
      </c>
      <c r="C77" s="48" t="s">
        <v>712</v>
      </c>
      <c r="D77" s="49" t="s">
        <v>713</v>
      </c>
      <c r="E77" s="49" t="s">
        <v>715</v>
      </c>
      <c r="F77" s="49" t="s">
        <v>587</v>
      </c>
      <c r="G77" s="49" t="s">
        <v>115</v>
      </c>
      <c r="H77" s="49" t="s">
        <v>115</v>
      </c>
      <c r="I77" s="58" t="n">
        <v>8090.92</v>
      </c>
      <c r="J77" s="50" t="n">
        <v>0</v>
      </c>
    </row>
    <row r="78" customFormat="false" ht="23.25" hidden="false" customHeight="true" outlineLevel="0" collapsed="false">
      <c r="A78" s="12" t="s">
        <v>562</v>
      </c>
      <c r="B78" s="13" t="s">
        <v>37</v>
      </c>
      <c r="C78" s="48" t="s">
        <v>712</v>
      </c>
      <c r="D78" s="49" t="s">
        <v>713</v>
      </c>
      <c r="E78" s="49" t="s">
        <v>716</v>
      </c>
      <c r="F78" s="49" t="s">
        <v>615</v>
      </c>
      <c r="G78" s="49" t="s">
        <v>115</v>
      </c>
      <c r="H78" s="49" t="s">
        <v>115</v>
      </c>
      <c r="I78" s="58" t="n">
        <v>9213.66</v>
      </c>
      <c r="J78" s="50" t="n">
        <v>0</v>
      </c>
    </row>
    <row r="79" customFormat="false" ht="23.25" hidden="false" customHeight="true" outlineLevel="0" collapsed="false">
      <c r="A79" s="12" t="s">
        <v>562</v>
      </c>
      <c r="B79" s="13" t="s">
        <v>37</v>
      </c>
      <c r="C79" s="48" t="s">
        <v>717</v>
      </c>
      <c r="D79" s="49" t="s">
        <v>718</v>
      </c>
      <c r="E79" s="49" t="s">
        <v>719</v>
      </c>
      <c r="F79" s="49" t="s">
        <v>606</v>
      </c>
      <c r="G79" s="49" t="s">
        <v>115</v>
      </c>
      <c r="H79" s="49" t="s">
        <v>115</v>
      </c>
      <c r="I79" s="58" t="n">
        <v>53.69</v>
      </c>
      <c r="J79" s="50" t="n">
        <v>0</v>
      </c>
    </row>
    <row r="80" customFormat="false" ht="23.25" hidden="false" customHeight="true" outlineLevel="0" collapsed="false">
      <c r="A80" s="12" t="s">
        <v>562</v>
      </c>
      <c r="B80" s="13" t="s">
        <v>37</v>
      </c>
      <c r="C80" s="48" t="s">
        <v>720</v>
      </c>
      <c r="D80" s="49" t="s">
        <v>721</v>
      </c>
      <c r="E80" s="49" t="s">
        <v>722</v>
      </c>
      <c r="F80" s="49" t="s">
        <v>172</v>
      </c>
      <c r="G80" s="49" t="s">
        <v>115</v>
      </c>
      <c r="H80" s="49" t="s">
        <v>115</v>
      </c>
      <c r="I80" s="58" t="n">
        <v>131.06</v>
      </c>
      <c r="J80" s="50" t="n">
        <v>0</v>
      </c>
    </row>
    <row r="81" customFormat="false" ht="23.25" hidden="false" customHeight="true" outlineLevel="0" collapsed="false">
      <c r="A81" s="12" t="s">
        <v>562</v>
      </c>
      <c r="B81" s="13" t="s">
        <v>37</v>
      </c>
      <c r="C81" s="48" t="s">
        <v>723</v>
      </c>
      <c r="D81" s="49" t="s">
        <v>724</v>
      </c>
      <c r="E81" s="49" t="s">
        <v>725</v>
      </c>
      <c r="F81" s="49" t="s">
        <v>615</v>
      </c>
      <c r="G81" s="49" t="s">
        <v>115</v>
      </c>
      <c r="H81" s="49" t="s">
        <v>115</v>
      </c>
      <c r="I81" s="58" t="n">
        <v>37.5</v>
      </c>
      <c r="J81" s="50" t="n">
        <v>0</v>
      </c>
    </row>
    <row r="82" customFormat="false" ht="23.25" hidden="false" customHeight="true" outlineLevel="0" collapsed="false">
      <c r="A82" s="12" t="s">
        <v>562</v>
      </c>
      <c r="B82" s="13" t="s">
        <v>37</v>
      </c>
      <c r="C82" s="48" t="s">
        <v>723</v>
      </c>
      <c r="D82" s="49" t="s">
        <v>724</v>
      </c>
      <c r="E82" s="49" t="s">
        <v>726</v>
      </c>
      <c r="F82" s="49" t="s">
        <v>617</v>
      </c>
      <c r="G82" s="49" t="s">
        <v>115</v>
      </c>
      <c r="H82" s="49" t="s">
        <v>115</v>
      </c>
      <c r="I82" s="58" t="n">
        <v>37.5</v>
      </c>
      <c r="J82" s="50" t="n">
        <v>0</v>
      </c>
    </row>
    <row r="83" customFormat="false" ht="23.25" hidden="false" customHeight="true" outlineLevel="0" collapsed="false">
      <c r="A83" s="12" t="s">
        <v>562</v>
      </c>
      <c r="B83" s="13" t="s">
        <v>37</v>
      </c>
      <c r="C83" s="48" t="s">
        <v>727</v>
      </c>
      <c r="D83" s="49" t="s">
        <v>728</v>
      </c>
      <c r="E83" s="49" t="s">
        <v>729</v>
      </c>
      <c r="F83" s="49" t="s">
        <v>349</v>
      </c>
      <c r="G83" s="49" t="s">
        <v>115</v>
      </c>
      <c r="H83" s="49" t="s">
        <v>115</v>
      </c>
      <c r="I83" s="58" t="n">
        <v>21265.05</v>
      </c>
      <c r="J83" s="50" t="n">
        <v>0</v>
      </c>
    </row>
    <row r="84" customFormat="false" ht="34.5" hidden="false" customHeight="true" outlineLevel="0" collapsed="false">
      <c r="A84" s="12" t="s">
        <v>562</v>
      </c>
      <c r="B84" s="13" t="s">
        <v>37</v>
      </c>
      <c r="C84" s="48" t="s">
        <v>730</v>
      </c>
      <c r="D84" s="49" t="s">
        <v>731</v>
      </c>
      <c r="E84" s="49" t="s">
        <v>732</v>
      </c>
      <c r="F84" s="49" t="s">
        <v>349</v>
      </c>
      <c r="G84" s="49" t="s">
        <v>142</v>
      </c>
      <c r="H84" s="49" t="s">
        <v>142</v>
      </c>
      <c r="I84" s="58" t="n">
        <v>0.01</v>
      </c>
      <c r="J84" s="50" t="n">
        <v>0</v>
      </c>
    </row>
    <row r="85" customFormat="false" ht="23.25" hidden="false" customHeight="true" outlineLevel="0" collapsed="false">
      <c r="A85" s="12" t="s">
        <v>562</v>
      </c>
      <c r="B85" s="13" t="s">
        <v>26</v>
      </c>
      <c r="C85" s="48" t="s">
        <v>733</v>
      </c>
      <c r="D85" s="49" t="s">
        <v>734</v>
      </c>
      <c r="E85" s="49" t="s">
        <v>735</v>
      </c>
      <c r="F85" s="49" t="s">
        <v>247</v>
      </c>
      <c r="G85" s="49" t="s">
        <v>142</v>
      </c>
      <c r="H85" s="49" t="s">
        <v>142</v>
      </c>
      <c r="I85" s="58" t="n">
        <v>11758.27</v>
      </c>
      <c r="J85" s="50" t="n">
        <v>0</v>
      </c>
    </row>
    <row r="86" customFormat="false" ht="34.5" hidden="false" customHeight="true" outlineLevel="0" collapsed="false">
      <c r="A86" s="12" t="s">
        <v>562</v>
      </c>
      <c r="B86" s="13" t="s">
        <v>26</v>
      </c>
      <c r="C86" s="48" t="s">
        <v>736</v>
      </c>
      <c r="D86" s="49" t="s">
        <v>737</v>
      </c>
      <c r="E86" s="49" t="s">
        <v>738</v>
      </c>
      <c r="F86" s="49" t="s">
        <v>739</v>
      </c>
      <c r="G86" s="49" t="s">
        <v>142</v>
      </c>
      <c r="H86" s="49" t="s">
        <v>142</v>
      </c>
      <c r="I86" s="58" t="n">
        <v>1710926.12</v>
      </c>
      <c r="J86" s="50" t="n">
        <v>1406742.62</v>
      </c>
    </row>
    <row r="87" customFormat="false" ht="34.5" hidden="false" customHeight="true" outlineLevel="0" collapsed="false">
      <c r="A87" s="12" t="s">
        <v>562</v>
      </c>
      <c r="B87" s="13" t="s">
        <v>28</v>
      </c>
      <c r="C87" s="48" t="s">
        <v>740</v>
      </c>
      <c r="D87" s="49" t="s">
        <v>741</v>
      </c>
      <c r="E87" s="49" t="s">
        <v>742</v>
      </c>
      <c r="F87" s="49" t="s">
        <v>247</v>
      </c>
      <c r="G87" s="49" t="s">
        <v>142</v>
      </c>
      <c r="H87" s="49" t="s">
        <v>142</v>
      </c>
      <c r="I87" s="58" t="n">
        <v>148745.66</v>
      </c>
      <c r="J87" s="50" t="n">
        <v>0</v>
      </c>
    </row>
    <row r="88" customFormat="false" ht="34.5" hidden="false" customHeight="true" outlineLevel="0" collapsed="false">
      <c r="A88" s="12" t="s">
        <v>562</v>
      </c>
      <c r="B88" s="13" t="s">
        <v>28</v>
      </c>
      <c r="C88" s="48" t="s">
        <v>740</v>
      </c>
      <c r="D88" s="49" t="s">
        <v>741</v>
      </c>
      <c r="E88" s="49" t="s">
        <v>743</v>
      </c>
      <c r="F88" s="49" t="s">
        <v>744</v>
      </c>
      <c r="G88" s="49" t="s">
        <v>142</v>
      </c>
      <c r="H88" s="49" t="s">
        <v>142</v>
      </c>
      <c r="I88" s="58" t="n">
        <v>1525369.9</v>
      </c>
      <c r="J88" s="50" t="n">
        <v>0</v>
      </c>
    </row>
    <row r="89" customFormat="false" ht="23.25" hidden="false" customHeight="true" outlineLevel="0" collapsed="false">
      <c r="A89" s="12" t="s">
        <v>562</v>
      </c>
      <c r="B89" s="13" t="s">
        <v>28</v>
      </c>
      <c r="C89" s="48" t="s">
        <v>745</v>
      </c>
      <c r="D89" s="49" t="s">
        <v>746</v>
      </c>
      <c r="E89" s="49" t="s">
        <v>747</v>
      </c>
      <c r="F89" s="49" t="s">
        <v>247</v>
      </c>
      <c r="G89" s="49" t="s">
        <v>142</v>
      </c>
      <c r="H89" s="49" t="s">
        <v>142</v>
      </c>
      <c r="I89" s="58" t="n">
        <v>35.75</v>
      </c>
      <c r="J89" s="50" t="n">
        <v>0</v>
      </c>
    </row>
    <row r="90" customFormat="false" ht="23.25" hidden="false" customHeight="true" outlineLevel="0" collapsed="false">
      <c r="A90" s="12" t="s">
        <v>562</v>
      </c>
      <c r="B90" s="13" t="s">
        <v>28</v>
      </c>
      <c r="C90" s="48" t="s">
        <v>748</v>
      </c>
      <c r="D90" s="49" t="s">
        <v>749</v>
      </c>
      <c r="E90" s="49" t="s">
        <v>750</v>
      </c>
      <c r="F90" s="49" t="s">
        <v>247</v>
      </c>
      <c r="G90" s="49" t="s">
        <v>142</v>
      </c>
      <c r="H90" s="49" t="s">
        <v>142</v>
      </c>
      <c r="I90" s="58" t="n">
        <v>15041.04</v>
      </c>
      <c r="J90" s="50" t="n">
        <v>0</v>
      </c>
    </row>
    <row r="91" customFormat="false" ht="23.25" hidden="false" customHeight="true" outlineLevel="0" collapsed="false">
      <c r="A91" s="12" t="s">
        <v>562</v>
      </c>
      <c r="B91" s="13" t="s">
        <v>28</v>
      </c>
      <c r="C91" s="48" t="s">
        <v>748</v>
      </c>
      <c r="D91" s="49" t="s">
        <v>749</v>
      </c>
      <c r="E91" s="49" t="s">
        <v>751</v>
      </c>
      <c r="F91" s="49" t="s">
        <v>744</v>
      </c>
      <c r="G91" s="49" t="s">
        <v>142</v>
      </c>
      <c r="H91" s="49" t="s">
        <v>142</v>
      </c>
      <c r="I91" s="58" t="n">
        <v>24221.26</v>
      </c>
      <c r="J91" s="50" t="n">
        <v>0</v>
      </c>
    </row>
    <row r="92" customFormat="false" ht="23.25" hidden="false" customHeight="true" outlineLevel="0" collapsed="false">
      <c r="A92" s="12" t="s">
        <v>562</v>
      </c>
      <c r="B92" s="13" t="s">
        <v>28</v>
      </c>
      <c r="C92" s="48" t="s">
        <v>748</v>
      </c>
      <c r="D92" s="49" t="s">
        <v>749</v>
      </c>
      <c r="E92" s="49" t="s">
        <v>752</v>
      </c>
      <c r="F92" s="49" t="s">
        <v>753</v>
      </c>
      <c r="G92" s="49" t="s">
        <v>142</v>
      </c>
      <c r="H92" s="49" t="s">
        <v>142</v>
      </c>
      <c r="I92" s="58" t="n">
        <v>47425.43</v>
      </c>
      <c r="J92" s="50" t="n">
        <v>0</v>
      </c>
    </row>
    <row r="93" customFormat="false" ht="23.25" hidden="false" customHeight="true" outlineLevel="0" collapsed="false">
      <c r="A93" s="12" t="s">
        <v>562</v>
      </c>
      <c r="B93" s="13" t="s">
        <v>28</v>
      </c>
      <c r="C93" s="48" t="s">
        <v>748</v>
      </c>
      <c r="D93" s="49" t="s">
        <v>749</v>
      </c>
      <c r="E93" s="49" t="s">
        <v>754</v>
      </c>
      <c r="F93" s="49" t="s">
        <v>739</v>
      </c>
      <c r="G93" s="49" t="s">
        <v>142</v>
      </c>
      <c r="H93" s="49" t="s">
        <v>142</v>
      </c>
      <c r="I93" s="58" t="n">
        <v>555817.33</v>
      </c>
      <c r="J93" s="50" t="n">
        <v>0</v>
      </c>
    </row>
    <row r="94" customFormat="false" ht="23.25" hidden="false" customHeight="true" outlineLevel="0" collapsed="false">
      <c r="A94" s="12" t="s">
        <v>562</v>
      </c>
      <c r="B94" s="13" t="s">
        <v>28</v>
      </c>
      <c r="C94" s="48" t="s">
        <v>755</v>
      </c>
      <c r="D94" s="49" t="s">
        <v>756</v>
      </c>
      <c r="E94" s="49" t="s">
        <v>757</v>
      </c>
      <c r="F94" s="49" t="s">
        <v>744</v>
      </c>
      <c r="G94" s="49" t="s">
        <v>142</v>
      </c>
      <c r="H94" s="49" t="s">
        <v>142</v>
      </c>
      <c r="I94" s="58" t="n">
        <v>22872.25</v>
      </c>
      <c r="J94" s="50" t="n">
        <v>0</v>
      </c>
    </row>
    <row r="95" customFormat="false" ht="23.25" hidden="false" customHeight="true" outlineLevel="0" collapsed="false">
      <c r="A95" s="12" t="s">
        <v>562</v>
      </c>
      <c r="B95" s="13" t="s">
        <v>28</v>
      </c>
      <c r="C95" s="48" t="s">
        <v>755</v>
      </c>
      <c r="D95" s="49" t="s">
        <v>756</v>
      </c>
      <c r="E95" s="49" t="s">
        <v>758</v>
      </c>
      <c r="F95" s="49" t="s">
        <v>753</v>
      </c>
      <c r="G95" s="49" t="s">
        <v>142</v>
      </c>
      <c r="H95" s="49" t="s">
        <v>142</v>
      </c>
      <c r="I95" s="58" t="n">
        <v>19121.45</v>
      </c>
      <c r="J95" s="50" t="n">
        <v>0</v>
      </c>
    </row>
    <row r="96" customFormat="false" ht="23.25" hidden="false" customHeight="true" outlineLevel="0" collapsed="false">
      <c r="A96" s="12" t="s">
        <v>562</v>
      </c>
      <c r="B96" s="13" t="s">
        <v>28</v>
      </c>
      <c r="C96" s="48" t="s">
        <v>755</v>
      </c>
      <c r="D96" s="49" t="s">
        <v>756</v>
      </c>
      <c r="E96" s="49" t="s">
        <v>759</v>
      </c>
      <c r="F96" s="49" t="s">
        <v>739</v>
      </c>
      <c r="G96" s="49" t="s">
        <v>142</v>
      </c>
      <c r="H96" s="49" t="s">
        <v>142</v>
      </c>
      <c r="I96" s="58" t="n">
        <v>3223.62</v>
      </c>
      <c r="J96" s="50" t="n">
        <v>0</v>
      </c>
    </row>
    <row r="97" customFormat="false" ht="23.25" hidden="false" customHeight="true" outlineLevel="0" collapsed="false">
      <c r="A97" s="12" t="s">
        <v>562</v>
      </c>
      <c r="B97" s="13" t="s">
        <v>28</v>
      </c>
      <c r="C97" s="48" t="s">
        <v>760</v>
      </c>
      <c r="D97" s="49" t="s">
        <v>761</v>
      </c>
      <c r="E97" s="49" t="s">
        <v>762</v>
      </c>
      <c r="F97" s="49" t="s">
        <v>739</v>
      </c>
      <c r="G97" s="49" t="s">
        <v>142</v>
      </c>
      <c r="H97" s="49" t="s">
        <v>142</v>
      </c>
      <c r="I97" s="58" t="n">
        <v>58338.63</v>
      </c>
      <c r="J97" s="50" t="n">
        <v>0</v>
      </c>
    </row>
    <row r="98" customFormat="false" ht="23.25" hidden="false" customHeight="true" outlineLevel="0" collapsed="false">
      <c r="A98" s="12" t="s">
        <v>562</v>
      </c>
      <c r="B98" s="13" t="s">
        <v>29</v>
      </c>
      <c r="C98" s="48" t="s">
        <v>763</v>
      </c>
      <c r="D98" s="49" t="s">
        <v>764</v>
      </c>
      <c r="E98" s="49" t="s">
        <v>765</v>
      </c>
      <c r="F98" s="49" t="s">
        <v>744</v>
      </c>
      <c r="G98" s="49" t="s">
        <v>115</v>
      </c>
      <c r="H98" s="49" t="s">
        <v>115</v>
      </c>
      <c r="I98" s="58" t="n">
        <v>3084.32</v>
      </c>
      <c r="J98" s="50" t="n">
        <v>0</v>
      </c>
    </row>
    <row r="99" customFormat="false" ht="23.25" hidden="false" customHeight="true" outlineLevel="0" collapsed="false">
      <c r="A99" s="12" t="s">
        <v>562</v>
      </c>
      <c r="B99" s="13" t="s">
        <v>29</v>
      </c>
      <c r="C99" s="48" t="s">
        <v>766</v>
      </c>
      <c r="D99" s="49" t="s">
        <v>767</v>
      </c>
      <c r="E99" s="49" t="s">
        <v>768</v>
      </c>
      <c r="F99" s="49" t="s">
        <v>753</v>
      </c>
      <c r="G99" s="49" t="s">
        <v>115</v>
      </c>
      <c r="H99" s="49" t="s">
        <v>115</v>
      </c>
      <c r="I99" s="58" t="n">
        <v>32796.58</v>
      </c>
      <c r="J99" s="50" t="n">
        <v>12831.48</v>
      </c>
    </row>
    <row r="100" customFormat="false" ht="23.25" hidden="false" customHeight="true" outlineLevel="0" collapsed="false">
      <c r="A100" s="12" t="s">
        <v>562</v>
      </c>
      <c r="B100" s="13" t="s">
        <v>29</v>
      </c>
      <c r="C100" s="48" t="s">
        <v>769</v>
      </c>
      <c r="D100" s="49" t="s">
        <v>770</v>
      </c>
      <c r="E100" s="49" t="s">
        <v>771</v>
      </c>
      <c r="F100" s="49" t="s">
        <v>739</v>
      </c>
      <c r="G100" s="49" t="s">
        <v>142</v>
      </c>
      <c r="H100" s="49" t="s">
        <v>142</v>
      </c>
      <c r="I100" s="58" t="n">
        <v>3052.68</v>
      </c>
      <c r="J100" s="50" t="n">
        <v>0</v>
      </c>
    </row>
    <row r="101" customFormat="false" ht="23.25" hidden="false" customHeight="true" outlineLevel="0" collapsed="false">
      <c r="A101" s="12" t="s">
        <v>562</v>
      </c>
      <c r="B101" s="13" t="s">
        <v>29</v>
      </c>
      <c r="C101" s="48" t="s">
        <v>772</v>
      </c>
      <c r="D101" s="49" t="s">
        <v>773</v>
      </c>
      <c r="E101" s="49" t="s">
        <v>774</v>
      </c>
      <c r="F101" s="49" t="s">
        <v>247</v>
      </c>
      <c r="G101" s="49" t="s">
        <v>115</v>
      </c>
      <c r="H101" s="49" t="s">
        <v>115</v>
      </c>
      <c r="I101" s="58" t="n">
        <v>2827.92</v>
      </c>
      <c r="J101" s="50" t="n">
        <v>0</v>
      </c>
    </row>
    <row r="102" customFormat="false" ht="23.25" hidden="false" customHeight="true" outlineLevel="0" collapsed="false">
      <c r="A102" s="12" t="s">
        <v>562</v>
      </c>
      <c r="B102" s="13" t="s">
        <v>30</v>
      </c>
      <c r="C102" s="48" t="s">
        <v>775</v>
      </c>
      <c r="D102" s="49" t="s">
        <v>776</v>
      </c>
      <c r="E102" s="49" t="s">
        <v>777</v>
      </c>
      <c r="F102" s="49" t="s">
        <v>739</v>
      </c>
      <c r="G102" s="49" t="s">
        <v>115</v>
      </c>
      <c r="H102" s="49" t="s">
        <v>115</v>
      </c>
      <c r="I102" s="58" t="n">
        <v>4281.5</v>
      </c>
      <c r="J102" s="50" t="n">
        <v>0</v>
      </c>
    </row>
    <row r="103" customFormat="false" ht="23.25" hidden="false" customHeight="true" outlineLevel="0" collapsed="false">
      <c r="A103" s="12" t="s">
        <v>562</v>
      </c>
      <c r="B103" s="13" t="s">
        <v>31</v>
      </c>
      <c r="C103" s="48" t="s">
        <v>588</v>
      </c>
      <c r="D103" s="49" t="s">
        <v>589</v>
      </c>
      <c r="E103" s="49" t="s">
        <v>778</v>
      </c>
      <c r="F103" s="49" t="s">
        <v>744</v>
      </c>
      <c r="G103" s="49" t="s">
        <v>142</v>
      </c>
      <c r="H103" s="49" t="s">
        <v>142</v>
      </c>
      <c r="I103" s="58" t="n">
        <v>16200.4</v>
      </c>
      <c r="J103" s="50" t="n">
        <v>0</v>
      </c>
    </row>
    <row r="104" customFormat="false" ht="23.25" hidden="false" customHeight="true" outlineLevel="0" collapsed="false">
      <c r="A104" s="12" t="s">
        <v>562</v>
      </c>
      <c r="B104" s="13" t="s">
        <v>31</v>
      </c>
      <c r="C104" s="48" t="s">
        <v>588</v>
      </c>
      <c r="D104" s="49" t="s">
        <v>589</v>
      </c>
      <c r="E104" s="49" t="s">
        <v>779</v>
      </c>
      <c r="F104" s="49" t="s">
        <v>247</v>
      </c>
      <c r="G104" s="49" t="s">
        <v>142</v>
      </c>
      <c r="H104" s="49" t="s">
        <v>142</v>
      </c>
      <c r="I104" s="58" t="n">
        <v>67777.38</v>
      </c>
      <c r="J104" s="50" t="n">
        <v>0</v>
      </c>
    </row>
    <row r="105" customFormat="false" ht="23.25" hidden="false" customHeight="true" outlineLevel="0" collapsed="false">
      <c r="A105" s="12" t="s">
        <v>562</v>
      </c>
      <c r="B105" s="13" t="s">
        <v>31</v>
      </c>
      <c r="C105" s="48" t="s">
        <v>780</v>
      </c>
      <c r="D105" s="49" t="s">
        <v>781</v>
      </c>
      <c r="E105" s="49" t="s">
        <v>782</v>
      </c>
      <c r="F105" s="49" t="s">
        <v>247</v>
      </c>
      <c r="G105" s="49" t="s">
        <v>142</v>
      </c>
      <c r="H105" s="49" t="s">
        <v>142</v>
      </c>
      <c r="I105" s="58" t="n">
        <v>74452</v>
      </c>
      <c r="J105" s="50" t="n">
        <v>0</v>
      </c>
    </row>
    <row r="106" customFormat="false" ht="34.5" hidden="false" customHeight="true" outlineLevel="0" collapsed="false">
      <c r="A106" s="12" t="s">
        <v>562</v>
      </c>
      <c r="B106" s="13" t="s">
        <v>31</v>
      </c>
      <c r="C106" s="48" t="s">
        <v>783</v>
      </c>
      <c r="D106" s="49" t="s">
        <v>784</v>
      </c>
      <c r="E106" s="49" t="s">
        <v>785</v>
      </c>
      <c r="F106" s="49" t="s">
        <v>247</v>
      </c>
      <c r="G106" s="49" t="s">
        <v>142</v>
      </c>
      <c r="H106" s="49" t="s">
        <v>142</v>
      </c>
      <c r="I106" s="58" t="n">
        <v>101812.32</v>
      </c>
      <c r="J106" s="50" t="n">
        <v>0</v>
      </c>
    </row>
    <row r="107" customFormat="false" ht="23.25" hidden="false" customHeight="true" outlineLevel="0" collapsed="false">
      <c r="A107" s="12" t="s">
        <v>562</v>
      </c>
      <c r="B107" s="13" t="s">
        <v>31</v>
      </c>
      <c r="C107" s="59" t="s">
        <v>596</v>
      </c>
      <c r="D107" s="60" t="s">
        <v>597</v>
      </c>
      <c r="E107" s="60" t="s">
        <v>786</v>
      </c>
      <c r="F107" s="60" t="s">
        <v>247</v>
      </c>
      <c r="G107" s="60" t="s">
        <v>115</v>
      </c>
      <c r="H107" s="60" t="s">
        <v>115</v>
      </c>
      <c r="I107" s="61" t="n">
        <v>11847.5</v>
      </c>
      <c r="J107" s="62" t="n">
        <v>0</v>
      </c>
    </row>
    <row r="108" customFormat="false" ht="23.25" hidden="false" customHeight="true" outlineLevel="0" collapsed="false">
      <c r="A108" s="12" t="s">
        <v>562</v>
      </c>
      <c r="B108" s="13" t="s">
        <v>31</v>
      </c>
      <c r="C108" s="59" t="s">
        <v>596</v>
      </c>
      <c r="D108" s="60" t="s">
        <v>597</v>
      </c>
      <c r="E108" s="60" t="s">
        <v>787</v>
      </c>
      <c r="F108" s="60" t="s">
        <v>744</v>
      </c>
      <c r="G108" s="60" t="s">
        <v>115</v>
      </c>
      <c r="H108" s="60" t="s">
        <v>115</v>
      </c>
      <c r="I108" s="61" t="n">
        <v>22112.5</v>
      </c>
      <c r="J108" s="62" t="n">
        <v>0</v>
      </c>
    </row>
    <row r="109" customFormat="false" ht="23.25" hidden="false" customHeight="true" outlineLevel="0" collapsed="false">
      <c r="A109" s="12" t="s">
        <v>562</v>
      </c>
      <c r="B109" s="13" t="s">
        <v>31</v>
      </c>
      <c r="C109" s="59" t="s">
        <v>596</v>
      </c>
      <c r="D109" s="60" t="s">
        <v>597</v>
      </c>
      <c r="E109" s="60" t="s">
        <v>788</v>
      </c>
      <c r="F109" s="60" t="s">
        <v>753</v>
      </c>
      <c r="G109" s="60" t="s">
        <v>115</v>
      </c>
      <c r="H109" s="60" t="s">
        <v>115</v>
      </c>
      <c r="I109" s="61" t="n">
        <v>55765</v>
      </c>
      <c r="J109" s="62" t="n">
        <v>0</v>
      </c>
    </row>
    <row r="110" customFormat="false" ht="23.25" hidden="false" customHeight="true" outlineLevel="0" collapsed="false">
      <c r="A110" s="12" t="s">
        <v>562</v>
      </c>
      <c r="B110" s="13" t="s">
        <v>31</v>
      </c>
      <c r="C110" s="59" t="s">
        <v>596</v>
      </c>
      <c r="D110" s="60" t="s">
        <v>597</v>
      </c>
      <c r="E110" s="60" t="s">
        <v>789</v>
      </c>
      <c r="F110" s="60" t="s">
        <v>739</v>
      </c>
      <c r="G110" s="60" t="s">
        <v>115</v>
      </c>
      <c r="H110" s="60" t="s">
        <v>115</v>
      </c>
      <c r="I110" s="61" t="n">
        <v>2550</v>
      </c>
      <c r="J110" s="62" t="n">
        <v>0</v>
      </c>
    </row>
    <row r="111" customFormat="false" ht="34.5" hidden="false" customHeight="true" outlineLevel="0" collapsed="false">
      <c r="A111" s="12" t="s">
        <v>562</v>
      </c>
      <c r="B111" s="13" t="s">
        <v>32</v>
      </c>
      <c r="C111" s="48" t="s">
        <v>790</v>
      </c>
      <c r="D111" s="49" t="s">
        <v>791</v>
      </c>
      <c r="E111" s="49" t="s">
        <v>792</v>
      </c>
      <c r="F111" s="49" t="s">
        <v>247</v>
      </c>
      <c r="G111" s="49" t="s">
        <v>142</v>
      </c>
      <c r="H111" s="49" t="s">
        <v>142</v>
      </c>
      <c r="I111" s="58" t="n">
        <v>189775.21</v>
      </c>
      <c r="J111" s="50" t="n">
        <v>0</v>
      </c>
    </row>
    <row r="112" customFormat="false" ht="23.25" hidden="false" customHeight="true" outlineLevel="0" collapsed="false">
      <c r="A112" s="12" t="s">
        <v>562</v>
      </c>
      <c r="B112" s="13" t="s">
        <v>34</v>
      </c>
      <c r="C112" s="48" t="s">
        <v>793</v>
      </c>
      <c r="D112" s="49" t="s">
        <v>794</v>
      </c>
      <c r="E112" s="49" t="s">
        <v>795</v>
      </c>
      <c r="F112" s="49" t="s">
        <v>744</v>
      </c>
      <c r="G112" s="49" t="s">
        <v>115</v>
      </c>
      <c r="H112" s="49" t="s">
        <v>115</v>
      </c>
      <c r="I112" s="58" t="n">
        <v>7137.77</v>
      </c>
      <c r="J112" s="50" t="n">
        <v>0</v>
      </c>
    </row>
    <row r="113" customFormat="false" ht="23.25" hidden="false" customHeight="true" outlineLevel="0" collapsed="false">
      <c r="A113" s="12" t="s">
        <v>562</v>
      </c>
      <c r="B113" s="13" t="s">
        <v>34</v>
      </c>
      <c r="C113" s="48" t="s">
        <v>796</v>
      </c>
      <c r="D113" s="49" t="s">
        <v>797</v>
      </c>
      <c r="E113" s="49" t="s">
        <v>798</v>
      </c>
      <c r="F113" s="49" t="s">
        <v>753</v>
      </c>
      <c r="G113" s="49" t="s">
        <v>115</v>
      </c>
      <c r="H113" s="49" t="s">
        <v>115</v>
      </c>
      <c r="I113" s="58" t="n">
        <v>705.95</v>
      </c>
      <c r="J113" s="50" t="n">
        <v>0</v>
      </c>
    </row>
    <row r="114" customFormat="false" ht="45.75" hidden="false" customHeight="true" outlineLevel="0" collapsed="false">
      <c r="A114" s="12" t="s">
        <v>562</v>
      </c>
      <c r="B114" s="13" t="s">
        <v>34</v>
      </c>
      <c r="C114" s="48" t="s">
        <v>799</v>
      </c>
      <c r="D114" s="49" t="s">
        <v>800</v>
      </c>
      <c r="E114" s="49" t="s">
        <v>801</v>
      </c>
      <c r="F114" s="49" t="s">
        <v>247</v>
      </c>
      <c r="G114" s="49" t="s">
        <v>142</v>
      </c>
      <c r="H114" s="49" t="s">
        <v>142</v>
      </c>
      <c r="I114" s="58" t="n">
        <v>41156.88</v>
      </c>
      <c r="J114" s="50" t="n">
        <v>0</v>
      </c>
    </row>
    <row r="115" customFormat="false" ht="34.5" hidden="false" customHeight="true" outlineLevel="0" collapsed="false">
      <c r="A115" s="12" t="s">
        <v>562</v>
      </c>
      <c r="B115" s="13" t="s">
        <v>34</v>
      </c>
      <c r="C115" s="48" t="s">
        <v>802</v>
      </c>
      <c r="D115" s="49" t="s">
        <v>803</v>
      </c>
      <c r="E115" s="49" t="s">
        <v>804</v>
      </c>
      <c r="F115" s="49" t="s">
        <v>739</v>
      </c>
      <c r="G115" s="49" t="s">
        <v>142</v>
      </c>
      <c r="H115" s="49" t="s">
        <v>142</v>
      </c>
      <c r="I115" s="58" t="n">
        <v>211047.06</v>
      </c>
      <c r="J115" s="50" t="n">
        <v>0</v>
      </c>
    </row>
    <row r="116" customFormat="false" ht="23.25" hidden="false" customHeight="true" outlineLevel="0" collapsed="false">
      <c r="A116" s="12" t="s">
        <v>562</v>
      </c>
      <c r="B116" s="13" t="s">
        <v>34</v>
      </c>
      <c r="C116" s="48" t="s">
        <v>805</v>
      </c>
      <c r="D116" s="49" t="s">
        <v>806</v>
      </c>
      <c r="E116" s="49" t="s">
        <v>807</v>
      </c>
      <c r="F116" s="49" t="s">
        <v>739</v>
      </c>
      <c r="G116" s="49" t="s">
        <v>115</v>
      </c>
      <c r="H116" s="49" t="s">
        <v>115</v>
      </c>
      <c r="I116" s="58" t="n">
        <v>29984.83</v>
      </c>
      <c r="J116" s="50" t="n">
        <v>0</v>
      </c>
    </row>
    <row r="117" customFormat="false" ht="23.25" hidden="false" customHeight="true" outlineLevel="0" collapsed="false">
      <c r="A117" s="12" t="s">
        <v>562</v>
      </c>
      <c r="B117" s="13" t="s">
        <v>35</v>
      </c>
      <c r="C117" s="48" t="s">
        <v>808</v>
      </c>
      <c r="D117" s="49" t="s">
        <v>809</v>
      </c>
      <c r="E117" s="49" t="s">
        <v>810</v>
      </c>
      <c r="F117" s="49" t="s">
        <v>247</v>
      </c>
      <c r="G117" s="49" t="s">
        <v>142</v>
      </c>
      <c r="H117" s="49" t="s">
        <v>142</v>
      </c>
      <c r="I117" s="58" t="n">
        <v>2699317.01</v>
      </c>
      <c r="J117" s="50" t="n">
        <v>0</v>
      </c>
    </row>
    <row r="118" customFormat="false" ht="23.25" hidden="false" customHeight="true" outlineLevel="0" collapsed="false">
      <c r="A118" s="12" t="s">
        <v>562</v>
      </c>
      <c r="B118" s="13" t="s">
        <v>35</v>
      </c>
      <c r="C118" s="48" t="s">
        <v>808</v>
      </c>
      <c r="D118" s="49" t="s">
        <v>809</v>
      </c>
      <c r="E118" s="49" t="s">
        <v>811</v>
      </c>
      <c r="F118" s="49" t="s">
        <v>744</v>
      </c>
      <c r="G118" s="49" t="s">
        <v>142</v>
      </c>
      <c r="H118" s="49" t="s">
        <v>142</v>
      </c>
      <c r="I118" s="58" t="n">
        <v>6152617.41</v>
      </c>
      <c r="J118" s="50" t="n">
        <v>0</v>
      </c>
    </row>
    <row r="119" customFormat="false" ht="23.25" hidden="false" customHeight="true" outlineLevel="0" collapsed="false">
      <c r="A119" s="12" t="s">
        <v>562</v>
      </c>
      <c r="B119" s="13" t="s">
        <v>35</v>
      </c>
      <c r="C119" s="48" t="s">
        <v>812</v>
      </c>
      <c r="D119" s="49" t="s">
        <v>813</v>
      </c>
      <c r="E119" s="49" t="s">
        <v>814</v>
      </c>
      <c r="F119" s="49" t="s">
        <v>744</v>
      </c>
      <c r="G119" s="49" t="s">
        <v>142</v>
      </c>
      <c r="H119" s="49" t="s">
        <v>142</v>
      </c>
      <c r="I119" s="58" t="n">
        <v>52318.91</v>
      </c>
      <c r="J119" s="50" t="n">
        <v>0</v>
      </c>
    </row>
    <row r="120" customFormat="false" ht="23.25" hidden="false" customHeight="true" outlineLevel="0" collapsed="false">
      <c r="A120" s="12" t="s">
        <v>562</v>
      </c>
      <c r="B120" s="13" t="s">
        <v>35</v>
      </c>
      <c r="C120" s="48" t="s">
        <v>815</v>
      </c>
      <c r="D120" s="49" t="s">
        <v>816</v>
      </c>
      <c r="E120" s="49" t="s">
        <v>817</v>
      </c>
      <c r="F120" s="49" t="s">
        <v>247</v>
      </c>
      <c r="G120" s="49" t="s">
        <v>115</v>
      </c>
      <c r="H120" s="49" t="s">
        <v>115</v>
      </c>
      <c r="I120" s="58" t="n">
        <v>887.77</v>
      </c>
      <c r="J120" s="50" t="n">
        <v>0</v>
      </c>
    </row>
    <row r="121" customFormat="false" ht="23.25" hidden="false" customHeight="true" outlineLevel="0" collapsed="false">
      <c r="A121" s="12" t="s">
        <v>562</v>
      </c>
      <c r="B121" s="13" t="s">
        <v>35</v>
      </c>
      <c r="C121" s="48" t="s">
        <v>815</v>
      </c>
      <c r="D121" s="49" t="s">
        <v>816</v>
      </c>
      <c r="E121" s="49" t="s">
        <v>818</v>
      </c>
      <c r="F121" s="49" t="s">
        <v>744</v>
      </c>
      <c r="G121" s="49" t="s">
        <v>115</v>
      </c>
      <c r="H121" s="49" t="s">
        <v>115</v>
      </c>
      <c r="I121" s="58" t="n">
        <v>13476.59</v>
      </c>
      <c r="J121" s="50" t="n">
        <v>0</v>
      </c>
    </row>
    <row r="122" customFormat="false" ht="23.25" hidden="false" customHeight="true" outlineLevel="0" collapsed="false">
      <c r="A122" s="12" t="s">
        <v>562</v>
      </c>
      <c r="B122" s="13" t="s">
        <v>35</v>
      </c>
      <c r="C122" s="48" t="s">
        <v>815</v>
      </c>
      <c r="D122" s="49" t="s">
        <v>816</v>
      </c>
      <c r="E122" s="49" t="s">
        <v>819</v>
      </c>
      <c r="F122" s="49" t="s">
        <v>753</v>
      </c>
      <c r="G122" s="49" t="s">
        <v>115</v>
      </c>
      <c r="H122" s="49" t="s">
        <v>115</v>
      </c>
      <c r="I122" s="58" t="n">
        <v>633.54</v>
      </c>
      <c r="J122" s="50" t="n">
        <v>0</v>
      </c>
    </row>
    <row r="123" customFormat="false" ht="23.25" hidden="false" customHeight="true" outlineLevel="0" collapsed="false">
      <c r="A123" s="12" t="s">
        <v>562</v>
      </c>
      <c r="B123" s="13" t="s">
        <v>35</v>
      </c>
      <c r="C123" s="63" t="s">
        <v>820</v>
      </c>
      <c r="D123" s="64" t="s">
        <v>821</v>
      </c>
      <c r="E123" s="64" t="s">
        <v>822</v>
      </c>
      <c r="F123" s="64" t="s">
        <v>739</v>
      </c>
      <c r="G123" s="64" t="s">
        <v>115</v>
      </c>
      <c r="H123" s="64" t="s">
        <v>115</v>
      </c>
      <c r="I123" s="65" t="n">
        <v>3176.15</v>
      </c>
      <c r="J123" s="66" t="n">
        <v>0</v>
      </c>
    </row>
    <row r="124" customFormat="false" ht="23.25" hidden="false" customHeight="true" outlineLevel="0" collapsed="false">
      <c r="A124" s="12" t="s">
        <v>562</v>
      </c>
      <c r="B124" s="13" t="s">
        <v>35</v>
      </c>
      <c r="C124" s="48" t="s">
        <v>823</v>
      </c>
      <c r="D124" s="49" t="s">
        <v>824</v>
      </c>
      <c r="E124" s="49" t="s">
        <v>825</v>
      </c>
      <c r="F124" s="49" t="s">
        <v>247</v>
      </c>
      <c r="G124" s="49" t="s">
        <v>142</v>
      </c>
      <c r="H124" s="49" t="s">
        <v>142</v>
      </c>
      <c r="I124" s="58" t="n">
        <v>45076.09</v>
      </c>
      <c r="J124" s="50" t="n">
        <v>0</v>
      </c>
    </row>
    <row r="125" customFormat="false" ht="23.25" hidden="false" customHeight="true" outlineLevel="0" collapsed="false">
      <c r="A125" s="12" t="s">
        <v>562</v>
      </c>
      <c r="B125" s="13" t="s">
        <v>35</v>
      </c>
      <c r="C125" s="48" t="s">
        <v>823</v>
      </c>
      <c r="D125" s="49" t="s">
        <v>824</v>
      </c>
      <c r="E125" s="49" t="s">
        <v>826</v>
      </c>
      <c r="F125" s="49" t="s">
        <v>744</v>
      </c>
      <c r="G125" s="49" t="s">
        <v>142</v>
      </c>
      <c r="H125" s="49" t="s">
        <v>142</v>
      </c>
      <c r="I125" s="58" t="n">
        <v>6884.45</v>
      </c>
      <c r="J125" s="50" t="n">
        <v>0</v>
      </c>
    </row>
    <row r="126" customFormat="false" ht="23.25" hidden="false" customHeight="true" outlineLevel="0" collapsed="false">
      <c r="A126" s="12" t="s">
        <v>562</v>
      </c>
      <c r="B126" s="13" t="s">
        <v>35</v>
      </c>
      <c r="C126" s="48" t="s">
        <v>827</v>
      </c>
      <c r="D126" s="49" t="s">
        <v>828</v>
      </c>
      <c r="E126" s="49" t="s">
        <v>829</v>
      </c>
      <c r="F126" s="49" t="s">
        <v>739</v>
      </c>
      <c r="G126" s="49" t="s">
        <v>142</v>
      </c>
      <c r="H126" s="49" t="s">
        <v>142</v>
      </c>
      <c r="I126" s="58" t="n">
        <v>21043.93</v>
      </c>
      <c r="J126" s="50" t="n">
        <v>0</v>
      </c>
    </row>
    <row r="127" customFormat="false" ht="23.25" hidden="false" customHeight="true" outlineLevel="0" collapsed="false">
      <c r="A127" s="12" t="s">
        <v>562</v>
      </c>
      <c r="B127" s="13" t="s">
        <v>35</v>
      </c>
      <c r="C127" s="48" t="s">
        <v>234</v>
      </c>
      <c r="D127" s="49" t="s">
        <v>235</v>
      </c>
      <c r="E127" s="49" t="s">
        <v>830</v>
      </c>
      <c r="F127" s="49" t="s">
        <v>744</v>
      </c>
      <c r="G127" s="49" t="s">
        <v>142</v>
      </c>
      <c r="H127" s="49" t="s">
        <v>142</v>
      </c>
      <c r="I127" s="58" t="n">
        <v>75112.6</v>
      </c>
      <c r="J127" s="50" t="n">
        <v>0</v>
      </c>
    </row>
    <row r="128" customFormat="false" ht="23.25" hidden="false" customHeight="true" outlineLevel="0" collapsed="false">
      <c r="A128" s="12" t="s">
        <v>562</v>
      </c>
      <c r="B128" s="13" t="s">
        <v>35</v>
      </c>
      <c r="C128" s="48" t="s">
        <v>831</v>
      </c>
      <c r="D128" s="49" t="s">
        <v>832</v>
      </c>
      <c r="E128" s="49" t="s">
        <v>833</v>
      </c>
      <c r="F128" s="49" t="s">
        <v>247</v>
      </c>
      <c r="G128" s="49" t="s">
        <v>115</v>
      </c>
      <c r="H128" s="49" t="s">
        <v>115</v>
      </c>
      <c r="I128" s="58" t="n">
        <v>16640.52</v>
      </c>
      <c r="J128" s="50" t="n">
        <v>0</v>
      </c>
    </row>
    <row r="129" customFormat="false" ht="23.25" hidden="false" customHeight="true" outlineLevel="0" collapsed="false">
      <c r="A129" s="12" t="s">
        <v>562</v>
      </c>
      <c r="B129" s="13" t="s">
        <v>35</v>
      </c>
      <c r="C129" s="48" t="s">
        <v>831</v>
      </c>
      <c r="D129" s="49" t="s">
        <v>832</v>
      </c>
      <c r="E129" s="49" t="s">
        <v>834</v>
      </c>
      <c r="F129" s="49" t="s">
        <v>744</v>
      </c>
      <c r="G129" s="49" t="s">
        <v>115</v>
      </c>
      <c r="H129" s="49" t="s">
        <v>115</v>
      </c>
      <c r="I129" s="58" t="n">
        <v>16152.57</v>
      </c>
      <c r="J129" s="50" t="n">
        <v>0</v>
      </c>
    </row>
    <row r="130" customFormat="false" ht="23.25" hidden="false" customHeight="true" outlineLevel="0" collapsed="false">
      <c r="A130" s="12" t="s">
        <v>562</v>
      </c>
      <c r="B130" s="13" t="s">
        <v>35</v>
      </c>
      <c r="C130" s="48" t="s">
        <v>835</v>
      </c>
      <c r="D130" s="49" t="s">
        <v>836</v>
      </c>
      <c r="E130" s="49" t="s">
        <v>837</v>
      </c>
      <c r="F130" s="49" t="s">
        <v>247</v>
      </c>
      <c r="G130" s="49" t="s">
        <v>115</v>
      </c>
      <c r="H130" s="49" t="s">
        <v>115</v>
      </c>
      <c r="I130" s="58" t="n">
        <v>750</v>
      </c>
      <c r="J130" s="50" t="n">
        <v>0</v>
      </c>
    </row>
    <row r="131" customFormat="false" ht="23.25" hidden="false" customHeight="true" outlineLevel="0" collapsed="false">
      <c r="A131" s="12" t="s">
        <v>562</v>
      </c>
      <c r="B131" s="13" t="s">
        <v>35</v>
      </c>
      <c r="C131" s="48" t="s">
        <v>835</v>
      </c>
      <c r="D131" s="49" t="s">
        <v>836</v>
      </c>
      <c r="E131" s="49" t="s">
        <v>838</v>
      </c>
      <c r="F131" s="49" t="s">
        <v>744</v>
      </c>
      <c r="G131" s="49" t="s">
        <v>115</v>
      </c>
      <c r="H131" s="49" t="s">
        <v>115</v>
      </c>
      <c r="I131" s="58" t="n">
        <v>750</v>
      </c>
      <c r="J131" s="50" t="n">
        <v>0</v>
      </c>
    </row>
    <row r="132" customFormat="false" ht="23.25" hidden="false" customHeight="true" outlineLevel="0" collapsed="false">
      <c r="A132" s="12" t="s">
        <v>562</v>
      </c>
      <c r="B132" s="13" t="s">
        <v>35</v>
      </c>
      <c r="C132" s="48" t="s">
        <v>839</v>
      </c>
      <c r="D132" s="49" t="s">
        <v>840</v>
      </c>
      <c r="E132" s="49" t="s">
        <v>841</v>
      </c>
      <c r="F132" s="49" t="s">
        <v>753</v>
      </c>
      <c r="G132" s="49" t="s">
        <v>142</v>
      </c>
      <c r="H132" s="49" t="s">
        <v>142</v>
      </c>
      <c r="I132" s="58" t="n">
        <v>11609.71</v>
      </c>
      <c r="J132" s="50" t="n">
        <v>0</v>
      </c>
    </row>
    <row r="133" customFormat="false" ht="23.25" hidden="false" customHeight="true" outlineLevel="0" collapsed="false">
      <c r="A133" s="12" t="s">
        <v>562</v>
      </c>
      <c r="B133" s="13" t="s">
        <v>35</v>
      </c>
      <c r="C133" s="48" t="s">
        <v>842</v>
      </c>
      <c r="D133" s="49" t="s">
        <v>843</v>
      </c>
      <c r="E133" s="49" t="s">
        <v>844</v>
      </c>
      <c r="F133" s="49" t="s">
        <v>247</v>
      </c>
      <c r="G133" s="49" t="s">
        <v>115</v>
      </c>
      <c r="H133" s="49" t="s">
        <v>115</v>
      </c>
      <c r="I133" s="58" t="n">
        <v>597.48</v>
      </c>
      <c r="J133" s="50" t="n">
        <v>0</v>
      </c>
    </row>
    <row r="134" customFormat="false" ht="23.25" hidden="false" customHeight="true" outlineLevel="0" collapsed="false">
      <c r="A134" s="12" t="s">
        <v>562</v>
      </c>
      <c r="B134" s="13" t="s">
        <v>35</v>
      </c>
      <c r="C134" s="48" t="s">
        <v>842</v>
      </c>
      <c r="D134" s="49" t="s">
        <v>843</v>
      </c>
      <c r="E134" s="49" t="s">
        <v>845</v>
      </c>
      <c r="F134" s="49" t="s">
        <v>744</v>
      </c>
      <c r="G134" s="49" t="s">
        <v>115</v>
      </c>
      <c r="H134" s="49" t="s">
        <v>115</v>
      </c>
      <c r="I134" s="58" t="n">
        <v>1794.14</v>
      </c>
      <c r="J134" s="50" t="n">
        <v>0</v>
      </c>
    </row>
    <row r="135" customFormat="false" ht="23.25" hidden="false" customHeight="true" outlineLevel="0" collapsed="false">
      <c r="A135" s="12" t="s">
        <v>562</v>
      </c>
      <c r="B135" s="13" t="s">
        <v>35</v>
      </c>
      <c r="C135" s="48" t="s">
        <v>846</v>
      </c>
      <c r="D135" s="49" t="s">
        <v>847</v>
      </c>
      <c r="E135" s="49" t="s">
        <v>848</v>
      </c>
      <c r="F135" s="49" t="s">
        <v>739</v>
      </c>
      <c r="G135" s="49" t="s">
        <v>115</v>
      </c>
      <c r="H135" s="49" t="s">
        <v>115</v>
      </c>
      <c r="I135" s="58" t="n">
        <v>110423.85</v>
      </c>
      <c r="J135" s="50" t="n">
        <v>0</v>
      </c>
    </row>
    <row r="136" customFormat="false" ht="23.25" hidden="false" customHeight="true" outlineLevel="0" collapsed="false">
      <c r="A136" s="12" t="s">
        <v>562</v>
      </c>
      <c r="B136" s="13" t="s">
        <v>36</v>
      </c>
      <c r="C136" s="48" t="s">
        <v>849</v>
      </c>
      <c r="D136" s="49" t="s">
        <v>850</v>
      </c>
      <c r="E136" s="49" t="s">
        <v>851</v>
      </c>
      <c r="F136" s="49" t="s">
        <v>739</v>
      </c>
      <c r="G136" s="49" t="s">
        <v>115</v>
      </c>
      <c r="H136" s="49" t="s">
        <v>115</v>
      </c>
      <c r="I136" s="58" t="n">
        <v>14904.61</v>
      </c>
      <c r="J136" s="50" t="n">
        <v>0</v>
      </c>
    </row>
    <row r="137" customFormat="false" ht="23.25" hidden="false" customHeight="true" outlineLevel="0" collapsed="false">
      <c r="A137" s="12" t="s">
        <v>562</v>
      </c>
      <c r="B137" s="13" t="s">
        <v>36</v>
      </c>
      <c r="C137" s="48" t="s">
        <v>495</v>
      </c>
      <c r="D137" s="49" t="s">
        <v>496</v>
      </c>
      <c r="E137" s="49" t="s">
        <v>852</v>
      </c>
      <c r="F137" s="49" t="s">
        <v>247</v>
      </c>
      <c r="G137" s="49" t="s">
        <v>115</v>
      </c>
      <c r="H137" s="49" t="s">
        <v>115</v>
      </c>
      <c r="I137" s="58" t="n">
        <v>21763.89</v>
      </c>
      <c r="J137" s="50" t="n">
        <v>0</v>
      </c>
    </row>
    <row r="138" customFormat="false" ht="23.25" hidden="false" customHeight="true" outlineLevel="0" collapsed="false">
      <c r="A138" s="12" t="s">
        <v>562</v>
      </c>
      <c r="B138" s="13" t="s">
        <v>36</v>
      </c>
      <c r="C138" s="48" t="s">
        <v>853</v>
      </c>
      <c r="D138" s="49" t="s">
        <v>854</v>
      </c>
      <c r="E138" s="49" t="s">
        <v>855</v>
      </c>
      <c r="F138" s="49" t="s">
        <v>247</v>
      </c>
      <c r="G138" s="49" t="s">
        <v>115</v>
      </c>
      <c r="H138" s="49" t="s">
        <v>115</v>
      </c>
      <c r="I138" s="58" t="n">
        <v>1710.72</v>
      </c>
      <c r="J138" s="50" t="n">
        <v>0</v>
      </c>
    </row>
    <row r="139" customFormat="false" ht="23.25" hidden="false" customHeight="true" outlineLevel="0" collapsed="false">
      <c r="A139" s="12" t="s">
        <v>562</v>
      </c>
      <c r="B139" s="13" t="s">
        <v>36</v>
      </c>
      <c r="C139" s="48" t="s">
        <v>853</v>
      </c>
      <c r="D139" s="49" t="s">
        <v>854</v>
      </c>
      <c r="E139" s="49" t="s">
        <v>856</v>
      </c>
      <c r="F139" s="49" t="s">
        <v>744</v>
      </c>
      <c r="G139" s="49" t="s">
        <v>115</v>
      </c>
      <c r="H139" s="49" t="s">
        <v>115</v>
      </c>
      <c r="I139" s="58" t="n">
        <v>631.91</v>
      </c>
      <c r="J139" s="50" t="n">
        <v>0</v>
      </c>
    </row>
    <row r="140" customFormat="false" ht="23.25" hidden="false" customHeight="true" outlineLevel="0" collapsed="false">
      <c r="A140" s="12" t="s">
        <v>562</v>
      </c>
      <c r="B140" s="13" t="s">
        <v>36</v>
      </c>
      <c r="C140" s="48" t="s">
        <v>853</v>
      </c>
      <c r="D140" s="49" t="s">
        <v>854</v>
      </c>
      <c r="E140" s="49" t="s">
        <v>857</v>
      </c>
      <c r="F140" s="49" t="s">
        <v>753</v>
      </c>
      <c r="G140" s="49" t="s">
        <v>115</v>
      </c>
      <c r="H140" s="49" t="s">
        <v>115</v>
      </c>
      <c r="I140" s="58" t="n">
        <v>4144.95</v>
      </c>
      <c r="J140" s="50" t="n">
        <v>0</v>
      </c>
    </row>
    <row r="141" customFormat="false" ht="23.25" hidden="false" customHeight="true" outlineLevel="0" collapsed="false">
      <c r="A141" s="12" t="s">
        <v>562</v>
      </c>
      <c r="B141" s="13" t="s">
        <v>36</v>
      </c>
      <c r="C141" s="48" t="s">
        <v>858</v>
      </c>
      <c r="D141" s="49" t="s">
        <v>859</v>
      </c>
      <c r="E141" s="49" t="s">
        <v>860</v>
      </c>
      <c r="F141" s="49" t="s">
        <v>744</v>
      </c>
      <c r="G141" s="49" t="s">
        <v>115</v>
      </c>
      <c r="H141" s="49" t="s">
        <v>115</v>
      </c>
      <c r="I141" s="58" t="n">
        <v>3652.87</v>
      </c>
      <c r="J141" s="50" t="n">
        <v>0</v>
      </c>
    </row>
    <row r="142" customFormat="false" ht="23.25" hidden="false" customHeight="true" outlineLevel="0" collapsed="false">
      <c r="A142" s="12" t="s">
        <v>562</v>
      </c>
      <c r="B142" s="13" t="s">
        <v>36</v>
      </c>
      <c r="C142" s="48" t="s">
        <v>858</v>
      </c>
      <c r="D142" s="49" t="s">
        <v>859</v>
      </c>
      <c r="E142" s="49" t="s">
        <v>861</v>
      </c>
      <c r="F142" s="49" t="s">
        <v>753</v>
      </c>
      <c r="G142" s="49" t="s">
        <v>115</v>
      </c>
      <c r="H142" s="49" t="s">
        <v>115</v>
      </c>
      <c r="I142" s="58" t="n">
        <v>22905.53</v>
      </c>
      <c r="J142" s="50" t="n">
        <v>0</v>
      </c>
    </row>
    <row r="143" customFormat="false" ht="34.5" hidden="false" customHeight="true" outlineLevel="0" collapsed="false">
      <c r="A143" s="12" t="s">
        <v>562</v>
      </c>
      <c r="B143" s="13" t="s">
        <v>36</v>
      </c>
      <c r="C143" s="48" t="s">
        <v>862</v>
      </c>
      <c r="D143" s="49" t="s">
        <v>863</v>
      </c>
      <c r="E143" s="49" t="s">
        <v>864</v>
      </c>
      <c r="F143" s="49" t="s">
        <v>247</v>
      </c>
      <c r="G143" s="49" t="s">
        <v>142</v>
      </c>
      <c r="H143" s="49" t="s">
        <v>142</v>
      </c>
      <c r="I143" s="58" t="n">
        <v>34194.6</v>
      </c>
      <c r="J143" s="50" t="n">
        <v>0</v>
      </c>
    </row>
    <row r="144" customFormat="false" ht="34.5" hidden="false" customHeight="true" outlineLevel="0" collapsed="false">
      <c r="A144" s="12" t="s">
        <v>562</v>
      </c>
      <c r="B144" s="13" t="s">
        <v>36</v>
      </c>
      <c r="C144" s="48" t="s">
        <v>862</v>
      </c>
      <c r="D144" s="49" t="s">
        <v>863</v>
      </c>
      <c r="E144" s="49" t="s">
        <v>865</v>
      </c>
      <c r="F144" s="49" t="s">
        <v>744</v>
      </c>
      <c r="G144" s="49" t="s">
        <v>142</v>
      </c>
      <c r="H144" s="49" t="s">
        <v>142</v>
      </c>
      <c r="I144" s="58" t="n">
        <v>16856.75</v>
      </c>
      <c r="J144" s="50" t="n">
        <v>0</v>
      </c>
    </row>
    <row r="145" customFormat="false" ht="23.25" hidden="false" customHeight="true" outlineLevel="0" collapsed="false">
      <c r="A145" s="12" t="s">
        <v>562</v>
      </c>
      <c r="B145" s="13" t="s">
        <v>36</v>
      </c>
      <c r="C145" s="48" t="s">
        <v>866</v>
      </c>
      <c r="D145" s="49" t="s">
        <v>867</v>
      </c>
      <c r="E145" s="49" t="s">
        <v>868</v>
      </c>
      <c r="F145" s="49" t="s">
        <v>247</v>
      </c>
      <c r="G145" s="49" t="s">
        <v>115</v>
      </c>
      <c r="H145" s="49" t="s">
        <v>115</v>
      </c>
      <c r="I145" s="58" t="n">
        <v>13.11</v>
      </c>
      <c r="J145" s="50" t="n">
        <v>0</v>
      </c>
    </row>
    <row r="146" customFormat="false" ht="34.5" hidden="false" customHeight="true" outlineLevel="0" collapsed="false">
      <c r="A146" s="12" t="s">
        <v>562</v>
      </c>
      <c r="B146" s="13" t="s">
        <v>36</v>
      </c>
      <c r="C146" s="48" t="s">
        <v>869</v>
      </c>
      <c r="D146" s="49" t="s">
        <v>870</v>
      </c>
      <c r="E146" s="49" t="s">
        <v>871</v>
      </c>
      <c r="F146" s="49" t="s">
        <v>753</v>
      </c>
      <c r="G146" s="49" t="s">
        <v>142</v>
      </c>
      <c r="H146" s="49" t="s">
        <v>142</v>
      </c>
      <c r="I146" s="58" t="n">
        <v>46934.81</v>
      </c>
      <c r="J146" s="50" t="n">
        <v>0</v>
      </c>
    </row>
    <row r="147" customFormat="false" ht="34.5" hidden="false" customHeight="true" outlineLevel="0" collapsed="false">
      <c r="A147" s="12" t="s">
        <v>562</v>
      </c>
      <c r="B147" s="13" t="s">
        <v>36</v>
      </c>
      <c r="C147" s="48" t="s">
        <v>869</v>
      </c>
      <c r="D147" s="49" t="s">
        <v>870</v>
      </c>
      <c r="E147" s="49" t="s">
        <v>872</v>
      </c>
      <c r="F147" s="49" t="s">
        <v>739</v>
      </c>
      <c r="G147" s="49" t="s">
        <v>142</v>
      </c>
      <c r="H147" s="49" t="s">
        <v>142</v>
      </c>
      <c r="I147" s="58" t="n">
        <v>358.65</v>
      </c>
      <c r="J147" s="50" t="n">
        <v>0</v>
      </c>
    </row>
    <row r="148" customFormat="false" ht="23.25" hidden="false" customHeight="true" outlineLevel="0" collapsed="false">
      <c r="A148" s="12" t="s">
        <v>562</v>
      </c>
      <c r="B148" s="13" t="s">
        <v>36</v>
      </c>
      <c r="C148" s="48" t="s">
        <v>873</v>
      </c>
      <c r="D148" s="49" t="s">
        <v>874</v>
      </c>
      <c r="E148" s="49" t="s">
        <v>875</v>
      </c>
      <c r="F148" s="49" t="s">
        <v>247</v>
      </c>
      <c r="G148" s="49" t="s">
        <v>115</v>
      </c>
      <c r="H148" s="49" t="s">
        <v>115</v>
      </c>
      <c r="I148" s="58" t="n">
        <v>2773.2</v>
      </c>
      <c r="J148" s="50" t="n">
        <v>0</v>
      </c>
    </row>
    <row r="149" customFormat="false" ht="23.25" hidden="false" customHeight="true" outlineLevel="0" collapsed="false">
      <c r="A149" s="12" t="s">
        <v>562</v>
      </c>
      <c r="B149" s="13" t="s">
        <v>36</v>
      </c>
      <c r="C149" s="48" t="s">
        <v>873</v>
      </c>
      <c r="D149" s="49" t="s">
        <v>874</v>
      </c>
      <c r="E149" s="49" t="s">
        <v>876</v>
      </c>
      <c r="F149" s="49" t="s">
        <v>744</v>
      </c>
      <c r="G149" s="49" t="s">
        <v>115</v>
      </c>
      <c r="H149" s="49" t="s">
        <v>115</v>
      </c>
      <c r="I149" s="58" t="n">
        <v>7458.39</v>
      </c>
      <c r="J149" s="50" t="n">
        <v>0</v>
      </c>
    </row>
    <row r="150" customFormat="false" ht="23.25" hidden="false" customHeight="true" outlineLevel="0" collapsed="false">
      <c r="A150" s="12" t="s">
        <v>562</v>
      </c>
      <c r="B150" s="13" t="s">
        <v>36</v>
      </c>
      <c r="C150" s="48" t="s">
        <v>873</v>
      </c>
      <c r="D150" s="49" t="s">
        <v>874</v>
      </c>
      <c r="E150" s="49" t="s">
        <v>877</v>
      </c>
      <c r="F150" s="49" t="s">
        <v>753</v>
      </c>
      <c r="G150" s="49" t="s">
        <v>115</v>
      </c>
      <c r="H150" s="49" t="s">
        <v>115</v>
      </c>
      <c r="I150" s="58" t="n">
        <v>3682.04</v>
      </c>
      <c r="J150" s="50" t="n">
        <v>0</v>
      </c>
    </row>
    <row r="151" customFormat="false" ht="23.25" hidden="false" customHeight="true" outlineLevel="0" collapsed="false">
      <c r="A151" s="12" t="s">
        <v>562</v>
      </c>
      <c r="B151" s="13" t="s">
        <v>36</v>
      </c>
      <c r="C151" s="48" t="s">
        <v>878</v>
      </c>
      <c r="D151" s="49" t="s">
        <v>879</v>
      </c>
      <c r="E151" s="49" t="s">
        <v>880</v>
      </c>
      <c r="F151" s="49" t="s">
        <v>744</v>
      </c>
      <c r="G151" s="49" t="s">
        <v>115</v>
      </c>
      <c r="H151" s="49" t="s">
        <v>115</v>
      </c>
      <c r="I151" s="58" t="n">
        <v>1367.36</v>
      </c>
      <c r="J151" s="50" t="n">
        <v>0</v>
      </c>
    </row>
    <row r="152" customFormat="false" ht="23.25" hidden="false" customHeight="true" outlineLevel="0" collapsed="false">
      <c r="A152" s="12" t="s">
        <v>562</v>
      </c>
      <c r="B152" s="13" t="s">
        <v>36</v>
      </c>
      <c r="C152" s="48" t="s">
        <v>878</v>
      </c>
      <c r="D152" s="49" t="s">
        <v>879</v>
      </c>
      <c r="E152" s="49" t="s">
        <v>881</v>
      </c>
      <c r="F152" s="49" t="s">
        <v>753</v>
      </c>
      <c r="G152" s="49" t="s">
        <v>115</v>
      </c>
      <c r="H152" s="49" t="s">
        <v>115</v>
      </c>
      <c r="I152" s="58" t="n">
        <v>2993.01</v>
      </c>
      <c r="J152" s="50" t="n">
        <v>0</v>
      </c>
    </row>
    <row r="153" customFormat="false" ht="23.25" hidden="false" customHeight="true" outlineLevel="0" collapsed="false">
      <c r="A153" s="12" t="s">
        <v>562</v>
      </c>
      <c r="B153" s="13" t="s">
        <v>36</v>
      </c>
      <c r="C153" s="48" t="s">
        <v>878</v>
      </c>
      <c r="D153" s="49" t="s">
        <v>879</v>
      </c>
      <c r="E153" s="49" t="s">
        <v>882</v>
      </c>
      <c r="F153" s="49" t="s">
        <v>739</v>
      </c>
      <c r="G153" s="49" t="s">
        <v>115</v>
      </c>
      <c r="H153" s="49" t="s">
        <v>115</v>
      </c>
      <c r="I153" s="58" t="n">
        <v>5641.41</v>
      </c>
      <c r="J153" s="50" t="n">
        <v>0</v>
      </c>
    </row>
    <row r="154" customFormat="false" ht="23.25" hidden="false" customHeight="true" outlineLevel="0" collapsed="false">
      <c r="A154" s="12" t="s">
        <v>562</v>
      </c>
      <c r="B154" s="13" t="s">
        <v>37</v>
      </c>
      <c r="C154" s="51" t="s">
        <v>883</v>
      </c>
      <c r="D154" s="52" t="s">
        <v>884</v>
      </c>
      <c r="E154" s="52" t="s">
        <v>885</v>
      </c>
      <c r="F154" s="52" t="s">
        <v>739</v>
      </c>
      <c r="G154" s="52" t="s">
        <v>115</v>
      </c>
      <c r="H154" s="52" t="s">
        <v>115</v>
      </c>
      <c r="I154" s="67" t="n">
        <v>249788.13</v>
      </c>
      <c r="J154" s="53" t="n">
        <v>0</v>
      </c>
    </row>
    <row r="158" customFormat="false" ht="13.5" hidden="false" customHeight="true" outlineLevel="0" collapsed="false">
      <c r="A158" s="57" t="s">
        <v>45</v>
      </c>
      <c r="B158" s="45" t="s">
        <v>1</v>
      </c>
      <c r="C158" s="18" t="s">
        <v>558</v>
      </c>
      <c r="D158" s="19" t="s">
        <v>886</v>
      </c>
      <c r="E158" s="19" t="s">
        <v>51</v>
      </c>
      <c r="F158" s="19" t="s">
        <v>52</v>
      </c>
      <c r="G158" s="19" t="s">
        <v>54</v>
      </c>
      <c r="H158" s="19" t="s">
        <v>559</v>
      </c>
      <c r="I158" s="68"/>
      <c r="J158" s="68"/>
    </row>
    <row r="159" customFormat="false" ht="23.25" hidden="false" customHeight="true" outlineLevel="0" collapsed="false">
      <c r="A159" s="69" t="s">
        <v>887</v>
      </c>
      <c r="B159" s="13" t="s">
        <v>34</v>
      </c>
      <c r="C159" s="22" t="s">
        <v>888</v>
      </c>
      <c r="D159" s="23" t="s">
        <v>889</v>
      </c>
      <c r="E159" s="23" t="s">
        <v>890</v>
      </c>
      <c r="F159" s="23" t="s">
        <v>891</v>
      </c>
      <c r="G159" s="23" t="s">
        <v>345</v>
      </c>
      <c r="H159" s="23" t="s">
        <v>115</v>
      </c>
      <c r="I159" s="70"/>
      <c r="J159" s="70"/>
    </row>
    <row r="160" customFormat="false" ht="23.25" hidden="false" customHeight="true" outlineLevel="0" collapsed="false">
      <c r="A160" s="69" t="s">
        <v>887</v>
      </c>
      <c r="B160" s="13" t="s">
        <v>30</v>
      </c>
      <c r="C160" s="22" t="s">
        <v>892</v>
      </c>
      <c r="D160" s="23" t="s">
        <v>893</v>
      </c>
      <c r="E160" s="23" t="s">
        <v>894</v>
      </c>
      <c r="F160" s="23" t="s">
        <v>895</v>
      </c>
      <c r="G160" s="23" t="s">
        <v>349</v>
      </c>
      <c r="H160" s="23" t="s">
        <v>115</v>
      </c>
      <c r="I160" s="70"/>
      <c r="J160" s="70"/>
    </row>
    <row r="161" customFormat="false" ht="23.25" hidden="false" customHeight="true" outlineLevel="0" collapsed="false">
      <c r="A161" s="69" t="s">
        <v>887</v>
      </c>
      <c r="B161" s="13" t="s">
        <v>30</v>
      </c>
      <c r="C161" s="22" t="s">
        <v>896</v>
      </c>
      <c r="D161" s="23" t="s">
        <v>897</v>
      </c>
      <c r="E161" s="23" t="s">
        <v>898</v>
      </c>
      <c r="F161" s="23" t="s">
        <v>899</v>
      </c>
      <c r="G161" s="23" t="s">
        <v>187</v>
      </c>
      <c r="H161" s="23" t="s">
        <v>142</v>
      </c>
      <c r="I161" s="70"/>
      <c r="J161" s="70"/>
    </row>
    <row r="162" customFormat="false" ht="23.25" hidden="false" customHeight="true" outlineLevel="0" collapsed="false">
      <c r="A162" s="69" t="s">
        <v>887</v>
      </c>
      <c r="B162" s="13" t="s">
        <v>34</v>
      </c>
      <c r="C162" s="22" t="s">
        <v>900</v>
      </c>
      <c r="D162" s="23" t="s">
        <v>901</v>
      </c>
      <c r="E162" s="23" t="s">
        <v>902</v>
      </c>
      <c r="F162" s="23" t="s">
        <v>903</v>
      </c>
      <c r="G162" s="23" t="s">
        <v>116</v>
      </c>
      <c r="H162" s="23" t="s">
        <v>115</v>
      </c>
      <c r="I162" s="70"/>
      <c r="J162" s="70"/>
    </row>
    <row r="163" customFormat="false" ht="23.25" hidden="false" customHeight="true" outlineLevel="0" collapsed="false">
      <c r="A163" s="69" t="s">
        <v>887</v>
      </c>
      <c r="B163" s="13" t="s">
        <v>34</v>
      </c>
      <c r="C163" s="22" t="s">
        <v>904</v>
      </c>
      <c r="D163" s="23" t="s">
        <v>905</v>
      </c>
      <c r="E163" s="23" t="s">
        <v>902</v>
      </c>
      <c r="F163" s="23" t="s">
        <v>903</v>
      </c>
      <c r="G163" s="23" t="s">
        <v>132</v>
      </c>
      <c r="H163" s="23" t="s">
        <v>115</v>
      </c>
      <c r="I163" s="70"/>
      <c r="J163" s="70"/>
    </row>
    <row r="164" customFormat="false" ht="23.25" hidden="false" customHeight="true" outlineLevel="0" collapsed="false">
      <c r="A164" s="69" t="s">
        <v>887</v>
      </c>
      <c r="B164" s="13" t="s">
        <v>37</v>
      </c>
      <c r="C164" s="22" t="s">
        <v>906</v>
      </c>
      <c r="D164" s="23" t="s">
        <v>907</v>
      </c>
      <c r="E164" s="23" t="s">
        <v>908</v>
      </c>
      <c r="F164" s="23" t="s">
        <v>909</v>
      </c>
      <c r="G164" s="23" t="s">
        <v>279</v>
      </c>
      <c r="H164" s="23" t="s">
        <v>115</v>
      </c>
      <c r="I164" s="70"/>
      <c r="J164" s="70"/>
    </row>
    <row r="165" customFormat="false" ht="23.25" hidden="false" customHeight="true" outlineLevel="0" collapsed="false">
      <c r="A165" s="69" t="s">
        <v>887</v>
      </c>
      <c r="B165" s="13" t="s">
        <v>31</v>
      </c>
      <c r="C165" s="22" t="s">
        <v>910</v>
      </c>
      <c r="D165" s="23" t="s">
        <v>911</v>
      </c>
      <c r="E165" s="23" t="s">
        <v>912</v>
      </c>
      <c r="F165" s="23" t="s">
        <v>913</v>
      </c>
      <c r="G165" s="23" t="s">
        <v>279</v>
      </c>
      <c r="H165" s="23" t="s">
        <v>115</v>
      </c>
      <c r="I165" s="70"/>
      <c r="J165" s="70"/>
    </row>
    <row r="166" customFormat="false" ht="23.25" hidden="false" customHeight="true" outlineLevel="0" collapsed="false">
      <c r="A166" s="69" t="s">
        <v>887</v>
      </c>
      <c r="B166" s="13" t="s">
        <v>30</v>
      </c>
      <c r="C166" s="22" t="s">
        <v>914</v>
      </c>
      <c r="D166" s="23" t="s">
        <v>915</v>
      </c>
      <c r="E166" s="23" t="s">
        <v>916</v>
      </c>
      <c r="F166" s="23" t="s">
        <v>917</v>
      </c>
      <c r="G166" s="23" t="s">
        <v>279</v>
      </c>
      <c r="H166" s="23" t="s">
        <v>142</v>
      </c>
      <c r="I166" s="70"/>
      <c r="J166" s="70"/>
    </row>
    <row r="167" customFormat="false" ht="23.25" hidden="false" customHeight="true" outlineLevel="0" collapsed="false">
      <c r="A167" s="69" t="s">
        <v>887</v>
      </c>
      <c r="B167" s="13" t="s">
        <v>36</v>
      </c>
      <c r="C167" s="22" t="s">
        <v>918</v>
      </c>
      <c r="D167" s="23" t="s">
        <v>919</v>
      </c>
      <c r="E167" s="23" t="s">
        <v>920</v>
      </c>
      <c r="F167" s="23" t="s">
        <v>921</v>
      </c>
      <c r="G167" s="23" t="s">
        <v>279</v>
      </c>
      <c r="H167" s="23" t="s">
        <v>142</v>
      </c>
      <c r="I167" s="70"/>
      <c r="J167" s="70"/>
    </row>
    <row r="168" customFormat="false" ht="23.25" hidden="false" customHeight="true" outlineLevel="0" collapsed="false">
      <c r="A168" s="69" t="s">
        <v>887</v>
      </c>
      <c r="B168" s="13" t="s">
        <v>32</v>
      </c>
      <c r="C168" s="22" t="s">
        <v>922</v>
      </c>
      <c r="D168" s="23" t="s">
        <v>923</v>
      </c>
      <c r="E168" s="23" t="s">
        <v>924</v>
      </c>
      <c r="F168" s="23" t="s">
        <v>925</v>
      </c>
      <c r="G168" s="23" t="s">
        <v>116</v>
      </c>
      <c r="H168" s="23" t="s">
        <v>115</v>
      </c>
      <c r="I168" s="70"/>
      <c r="J168" s="70"/>
    </row>
    <row r="169" customFormat="false" ht="23.25" hidden="false" customHeight="true" outlineLevel="0" collapsed="false">
      <c r="A169" s="69" t="s">
        <v>887</v>
      </c>
      <c r="B169" s="13" t="s">
        <v>34</v>
      </c>
      <c r="C169" s="22" t="s">
        <v>926</v>
      </c>
      <c r="D169" s="23" t="s">
        <v>927</v>
      </c>
      <c r="E169" s="23" t="s">
        <v>928</v>
      </c>
      <c r="F169" s="23" t="s">
        <v>929</v>
      </c>
      <c r="G169" s="23" t="s">
        <v>116</v>
      </c>
      <c r="H169" s="23" t="s">
        <v>115</v>
      </c>
      <c r="I169" s="70"/>
      <c r="J169" s="70"/>
    </row>
    <row r="170" customFormat="false" ht="23.25" hidden="false" customHeight="true" outlineLevel="0" collapsed="false">
      <c r="A170" s="69" t="s">
        <v>887</v>
      </c>
      <c r="B170" s="13" t="s">
        <v>26</v>
      </c>
      <c r="C170" s="22" t="s">
        <v>930</v>
      </c>
      <c r="D170" s="23" t="s">
        <v>931</v>
      </c>
      <c r="E170" s="23" t="s">
        <v>932</v>
      </c>
      <c r="F170" s="23" t="s">
        <v>933</v>
      </c>
      <c r="G170" s="23" t="s">
        <v>116</v>
      </c>
      <c r="H170" s="23" t="s">
        <v>115</v>
      </c>
      <c r="I170" s="70"/>
      <c r="J170" s="70"/>
    </row>
    <row r="171" customFormat="false" ht="23.25" hidden="false" customHeight="true" outlineLevel="0" collapsed="false">
      <c r="A171" s="69" t="s">
        <v>887</v>
      </c>
      <c r="B171" s="13" t="s">
        <v>28</v>
      </c>
      <c r="C171" s="22" t="s">
        <v>934</v>
      </c>
      <c r="D171" s="23" t="s">
        <v>935</v>
      </c>
      <c r="E171" s="23" t="s">
        <v>936</v>
      </c>
      <c r="F171" s="23" t="s">
        <v>937</v>
      </c>
      <c r="G171" s="23" t="s">
        <v>279</v>
      </c>
      <c r="H171" s="23" t="s">
        <v>142</v>
      </c>
      <c r="I171" s="70"/>
      <c r="J171" s="70"/>
    </row>
    <row r="172" customFormat="false" ht="23.25" hidden="false" customHeight="true" outlineLevel="0" collapsed="false">
      <c r="A172" s="69" t="s">
        <v>887</v>
      </c>
      <c r="B172" s="13" t="s">
        <v>29</v>
      </c>
      <c r="C172" s="22" t="s">
        <v>938</v>
      </c>
      <c r="D172" s="23" t="s">
        <v>939</v>
      </c>
      <c r="E172" s="23" t="s">
        <v>940</v>
      </c>
      <c r="F172" s="23" t="s">
        <v>941</v>
      </c>
      <c r="G172" s="23" t="s">
        <v>132</v>
      </c>
      <c r="H172" s="23" t="s">
        <v>142</v>
      </c>
      <c r="I172" s="70"/>
      <c r="J172" s="70"/>
    </row>
    <row r="173" customFormat="false" ht="23.25" hidden="false" customHeight="true" outlineLevel="0" collapsed="false">
      <c r="A173" s="69" t="s">
        <v>887</v>
      </c>
      <c r="B173" s="13" t="s">
        <v>32</v>
      </c>
      <c r="C173" s="22" t="s">
        <v>942</v>
      </c>
      <c r="D173" s="23" t="s">
        <v>943</v>
      </c>
      <c r="E173" s="23" t="s">
        <v>924</v>
      </c>
      <c r="F173" s="23" t="s">
        <v>925</v>
      </c>
      <c r="G173" s="23" t="s">
        <v>132</v>
      </c>
      <c r="H173" s="23" t="s">
        <v>115</v>
      </c>
      <c r="I173" s="70"/>
      <c r="J173" s="70"/>
    </row>
    <row r="174" customFormat="false" ht="23.25" hidden="false" customHeight="true" outlineLevel="0" collapsed="false">
      <c r="A174" s="69" t="s">
        <v>887</v>
      </c>
      <c r="B174" s="13" t="s">
        <v>36</v>
      </c>
      <c r="C174" s="22" t="s">
        <v>944</v>
      </c>
      <c r="D174" s="23" t="s">
        <v>945</v>
      </c>
      <c r="E174" s="23" t="s">
        <v>946</v>
      </c>
      <c r="F174" s="23" t="s">
        <v>947</v>
      </c>
      <c r="G174" s="23" t="s">
        <v>279</v>
      </c>
      <c r="H174" s="23" t="s">
        <v>115</v>
      </c>
      <c r="I174" s="70"/>
      <c r="J174" s="70"/>
    </row>
    <row r="175" customFormat="false" ht="23.25" hidden="false" customHeight="true" outlineLevel="0" collapsed="false">
      <c r="A175" s="69" t="s">
        <v>887</v>
      </c>
      <c r="B175" s="13" t="s">
        <v>31</v>
      </c>
      <c r="C175" s="22" t="s">
        <v>948</v>
      </c>
      <c r="D175" s="23" t="s">
        <v>949</v>
      </c>
      <c r="E175" s="23" t="s">
        <v>950</v>
      </c>
      <c r="F175" s="23" t="s">
        <v>951</v>
      </c>
      <c r="G175" s="23" t="s">
        <v>132</v>
      </c>
      <c r="H175" s="23" t="s">
        <v>142</v>
      </c>
      <c r="I175" s="70"/>
      <c r="J175" s="70"/>
    </row>
    <row r="176" customFormat="false" ht="23.25" hidden="false" customHeight="true" outlineLevel="0" collapsed="false">
      <c r="A176" s="69" t="s">
        <v>887</v>
      </c>
      <c r="B176" s="13" t="s">
        <v>34</v>
      </c>
      <c r="C176" s="22" t="s">
        <v>952</v>
      </c>
      <c r="D176" s="23" t="s">
        <v>953</v>
      </c>
      <c r="E176" s="23" t="s">
        <v>954</v>
      </c>
      <c r="F176" s="23" t="s">
        <v>955</v>
      </c>
      <c r="G176" s="23" t="s">
        <v>149</v>
      </c>
      <c r="H176" s="23" t="s">
        <v>142</v>
      </c>
      <c r="I176" s="70"/>
      <c r="J176" s="70"/>
    </row>
    <row r="177" customFormat="false" ht="23.25" hidden="false" customHeight="true" outlineLevel="0" collapsed="false">
      <c r="A177" s="69" t="s">
        <v>887</v>
      </c>
      <c r="B177" s="13" t="s">
        <v>37</v>
      </c>
      <c r="C177" s="22" t="s">
        <v>956</v>
      </c>
      <c r="D177" s="23" t="s">
        <v>957</v>
      </c>
      <c r="E177" s="23" t="s">
        <v>958</v>
      </c>
      <c r="F177" s="23" t="s">
        <v>959</v>
      </c>
      <c r="G177" s="23" t="s">
        <v>279</v>
      </c>
      <c r="H177" s="23" t="s">
        <v>115</v>
      </c>
      <c r="I177" s="70"/>
      <c r="J177" s="70"/>
    </row>
    <row r="178" customFormat="false" ht="23.25" hidden="false" customHeight="true" outlineLevel="0" collapsed="false">
      <c r="A178" s="69" t="s">
        <v>887</v>
      </c>
      <c r="B178" s="13" t="s">
        <v>26</v>
      </c>
      <c r="C178" s="22" t="s">
        <v>960</v>
      </c>
      <c r="D178" s="23" t="s">
        <v>961</v>
      </c>
      <c r="E178" s="23" t="s">
        <v>962</v>
      </c>
      <c r="F178" s="23" t="s">
        <v>963</v>
      </c>
      <c r="G178" s="23" t="s">
        <v>247</v>
      </c>
      <c r="H178" s="23" t="s">
        <v>115</v>
      </c>
      <c r="I178" s="70"/>
      <c r="J178" s="70"/>
    </row>
    <row r="179" customFormat="false" ht="23.25" hidden="false" customHeight="true" outlineLevel="0" collapsed="false">
      <c r="A179" s="69" t="s">
        <v>887</v>
      </c>
      <c r="B179" s="13" t="s">
        <v>34</v>
      </c>
      <c r="C179" s="22" t="s">
        <v>964</v>
      </c>
      <c r="D179" s="23" t="s">
        <v>965</v>
      </c>
      <c r="E179" s="23" t="s">
        <v>966</v>
      </c>
      <c r="F179" s="23" t="s">
        <v>967</v>
      </c>
      <c r="G179" s="23" t="s">
        <v>744</v>
      </c>
      <c r="H179" s="23" t="s">
        <v>115</v>
      </c>
      <c r="I179" s="70"/>
      <c r="J179" s="70"/>
    </row>
    <row r="180" customFormat="false" ht="23.25" hidden="false" customHeight="true" outlineLevel="0" collapsed="false">
      <c r="A180" s="69" t="s">
        <v>887</v>
      </c>
      <c r="B180" s="13" t="s">
        <v>37</v>
      </c>
      <c r="C180" s="22" t="s">
        <v>968</v>
      </c>
      <c r="D180" s="23" t="s">
        <v>969</v>
      </c>
      <c r="E180" s="23" t="s">
        <v>970</v>
      </c>
      <c r="F180" s="23" t="s">
        <v>971</v>
      </c>
      <c r="G180" s="23" t="s">
        <v>739</v>
      </c>
      <c r="H180" s="23" t="s">
        <v>115</v>
      </c>
      <c r="I180" s="70"/>
      <c r="J180" s="70"/>
    </row>
    <row r="181" customFormat="false" ht="23.25" hidden="false" customHeight="true" outlineLevel="0" collapsed="false">
      <c r="A181" s="69" t="s">
        <v>887</v>
      </c>
      <c r="B181" s="13" t="s">
        <v>30</v>
      </c>
      <c r="C181" s="22" t="s">
        <v>972</v>
      </c>
      <c r="D181" s="23" t="s">
        <v>973</v>
      </c>
      <c r="E181" s="23" t="s">
        <v>974</v>
      </c>
      <c r="F181" s="23" t="s">
        <v>975</v>
      </c>
      <c r="G181" s="23" t="s">
        <v>739</v>
      </c>
      <c r="H181" s="23" t="s">
        <v>115</v>
      </c>
      <c r="I181" s="70"/>
      <c r="J181" s="70"/>
    </row>
    <row r="182" customFormat="false" ht="23.25" hidden="false" customHeight="true" outlineLevel="0" collapsed="false">
      <c r="A182" s="69" t="s">
        <v>887</v>
      </c>
      <c r="B182" s="13" t="s">
        <v>29</v>
      </c>
      <c r="C182" s="22" t="s">
        <v>976</v>
      </c>
      <c r="D182" s="23" t="s">
        <v>977</v>
      </c>
      <c r="E182" s="23" t="s">
        <v>978</v>
      </c>
      <c r="F182" s="23" t="s">
        <v>979</v>
      </c>
      <c r="G182" s="23" t="s">
        <v>247</v>
      </c>
      <c r="H182" s="23" t="s">
        <v>115</v>
      </c>
      <c r="I182" s="70"/>
      <c r="J182" s="70"/>
    </row>
    <row r="183" customFormat="false" ht="23.25" hidden="false" customHeight="true" outlineLevel="0" collapsed="false">
      <c r="A183" s="69" t="s">
        <v>887</v>
      </c>
      <c r="B183" s="13" t="s">
        <v>26</v>
      </c>
      <c r="C183" s="22" t="s">
        <v>980</v>
      </c>
      <c r="D183" s="23" t="s">
        <v>981</v>
      </c>
      <c r="E183" s="23" t="s">
        <v>982</v>
      </c>
      <c r="F183" s="23" t="s">
        <v>983</v>
      </c>
      <c r="G183" s="23" t="s">
        <v>753</v>
      </c>
      <c r="H183" s="23" t="s">
        <v>115</v>
      </c>
      <c r="I183" s="70"/>
      <c r="J183" s="70"/>
    </row>
    <row r="184" customFormat="false" ht="23.25" hidden="false" customHeight="true" outlineLevel="0" collapsed="false">
      <c r="A184" s="69" t="s">
        <v>887</v>
      </c>
      <c r="B184" s="13" t="s">
        <v>33</v>
      </c>
      <c r="C184" s="22" t="s">
        <v>984</v>
      </c>
      <c r="D184" s="23" t="s">
        <v>985</v>
      </c>
      <c r="E184" s="23" t="s">
        <v>986</v>
      </c>
      <c r="F184" s="23" t="s">
        <v>987</v>
      </c>
      <c r="G184" s="23" t="s">
        <v>744</v>
      </c>
      <c r="H184" s="23" t="s">
        <v>142</v>
      </c>
      <c r="I184" s="70"/>
      <c r="J184" s="70"/>
    </row>
    <row r="185" customFormat="false" ht="23.25" hidden="false" customHeight="true" outlineLevel="0" collapsed="false">
      <c r="A185" s="69" t="s">
        <v>887</v>
      </c>
      <c r="B185" s="13" t="s">
        <v>28</v>
      </c>
      <c r="C185" s="22" t="s">
        <v>988</v>
      </c>
      <c r="D185" s="23" t="s">
        <v>989</v>
      </c>
      <c r="E185" s="23" t="s">
        <v>990</v>
      </c>
      <c r="F185" s="23" t="s">
        <v>991</v>
      </c>
      <c r="G185" s="23" t="s">
        <v>739</v>
      </c>
      <c r="H185" s="23" t="s">
        <v>115</v>
      </c>
      <c r="I185" s="70"/>
      <c r="J185" s="70"/>
    </row>
    <row r="186" customFormat="false" ht="23.25" hidden="false" customHeight="true" outlineLevel="0" collapsed="false">
      <c r="A186" s="69" t="s">
        <v>887</v>
      </c>
      <c r="B186" s="13" t="s">
        <v>28</v>
      </c>
      <c r="C186" s="30" t="s">
        <v>743</v>
      </c>
      <c r="D186" s="31" t="s">
        <v>992</v>
      </c>
      <c r="E186" s="31" t="s">
        <v>740</v>
      </c>
      <c r="F186" s="31" t="s">
        <v>741</v>
      </c>
      <c r="G186" s="31" t="s">
        <v>744</v>
      </c>
      <c r="H186" s="31" t="s">
        <v>142</v>
      </c>
      <c r="I186" s="70"/>
      <c r="J186" s="70"/>
    </row>
    <row r="187" customFormat="false" ht="23.25" hidden="false" customHeight="true" outlineLevel="0" collapsed="false">
      <c r="A187" s="69" t="s">
        <v>887</v>
      </c>
      <c r="B187" s="13" t="s">
        <v>32</v>
      </c>
      <c r="C187" s="22" t="s">
        <v>993</v>
      </c>
      <c r="D187" s="23" t="s">
        <v>994</v>
      </c>
      <c r="E187" s="23" t="s">
        <v>995</v>
      </c>
      <c r="F187" s="23" t="s">
        <v>996</v>
      </c>
      <c r="G187" s="23" t="s">
        <v>753</v>
      </c>
      <c r="H187" s="23" t="s">
        <v>115</v>
      </c>
      <c r="I187" s="70"/>
      <c r="J187" s="70"/>
    </row>
    <row r="188" customFormat="false" ht="23.25" hidden="false" customHeight="true" outlineLevel="0" collapsed="false">
      <c r="A188" s="69" t="s">
        <v>887</v>
      </c>
      <c r="B188" s="13" t="s">
        <v>26</v>
      </c>
      <c r="C188" s="22" t="s">
        <v>997</v>
      </c>
      <c r="D188" s="23" t="s">
        <v>998</v>
      </c>
      <c r="E188" s="23" t="s">
        <v>999</v>
      </c>
      <c r="F188" s="23" t="s">
        <v>1000</v>
      </c>
      <c r="G188" s="23" t="s">
        <v>753</v>
      </c>
      <c r="H188" s="23" t="s">
        <v>115</v>
      </c>
      <c r="I188" s="70"/>
      <c r="J188" s="70"/>
    </row>
    <row r="189" customFormat="false" ht="23.25" hidden="false" customHeight="true" outlineLevel="0" collapsed="false">
      <c r="A189" s="69" t="s">
        <v>887</v>
      </c>
      <c r="B189" s="13" t="s">
        <v>30</v>
      </c>
      <c r="C189" s="22" t="s">
        <v>1001</v>
      </c>
      <c r="D189" s="23" t="s">
        <v>1002</v>
      </c>
      <c r="E189" s="23" t="s">
        <v>1003</v>
      </c>
      <c r="F189" s="23" t="s">
        <v>1004</v>
      </c>
      <c r="G189" s="23" t="s">
        <v>753</v>
      </c>
      <c r="H189" s="23" t="s">
        <v>142</v>
      </c>
      <c r="I189" s="70"/>
      <c r="J189" s="70"/>
    </row>
    <row r="190" customFormat="false" ht="23.25" hidden="false" customHeight="true" outlineLevel="0" collapsed="false">
      <c r="A190" s="69" t="s">
        <v>887</v>
      </c>
      <c r="B190" s="13" t="s">
        <v>35</v>
      </c>
      <c r="C190" s="22" t="s">
        <v>1005</v>
      </c>
      <c r="D190" s="23" t="s">
        <v>1006</v>
      </c>
      <c r="E190" s="23" t="s">
        <v>1007</v>
      </c>
      <c r="F190" s="23" t="s">
        <v>1008</v>
      </c>
      <c r="G190" s="23" t="s">
        <v>753</v>
      </c>
      <c r="H190" s="23" t="s">
        <v>115</v>
      </c>
      <c r="I190" s="70"/>
      <c r="J190" s="70"/>
    </row>
    <row r="191" customFormat="false" ht="23.25" hidden="false" customHeight="true" outlineLevel="0" collapsed="false">
      <c r="A191" s="69" t="s">
        <v>887</v>
      </c>
      <c r="B191" s="13" t="s">
        <v>35</v>
      </c>
      <c r="C191" s="22" t="s">
        <v>1009</v>
      </c>
      <c r="D191" s="23" t="s">
        <v>1010</v>
      </c>
      <c r="E191" s="23" t="s">
        <v>1011</v>
      </c>
      <c r="F191" s="23" t="s">
        <v>1012</v>
      </c>
      <c r="G191" s="23" t="s">
        <v>739</v>
      </c>
      <c r="H191" s="23" t="s">
        <v>142</v>
      </c>
      <c r="I191" s="70"/>
      <c r="J191" s="70"/>
    </row>
    <row r="192" customFormat="false" ht="23.25" hidden="false" customHeight="true" outlineLevel="0" collapsed="false">
      <c r="A192" s="69" t="s">
        <v>887</v>
      </c>
      <c r="B192" s="13" t="s">
        <v>33</v>
      </c>
      <c r="C192" s="22" t="s">
        <v>1013</v>
      </c>
      <c r="D192" s="23" t="s">
        <v>1014</v>
      </c>
      <c r="E192" s="23" t="s">
        <v>1015</v>
      </c>
      <c r="F192" s="23" t="s">
        <v>1016</v>
      </c>
      <c r="G192" s="23" t="s">
        <v>739</v>
      </c>
      <c r="H192" s="23" t="s">
        <v>142</v>
      </c>
      <c r="I192" s="70"/>
      <c r="J192" s="70"/>
    </row>
    <row r="193" customFormat="false" ht="23.25" hidden="false" customHeight="true" outlineLevel="0" collapsed="false">
      <c r="A193" s="69" t="s">
        <v>887</v>
      </c>
      <c r="B193" s="13" t="s">
        <v>27</v>
      </c>
      <c r="C193" s="22" t="s">
        <v>1017</v>
      </c>
      <c r="D193" s="23" t="s">
        <v>1018</v>
      </c>
      <c r="E193" s="23" t="s">
        <v>1019</v>
      </c>
      <c r="F193" s="23" t="s">
        <v>1020</v>
      </c>
      <c r="G193" s="23" t="s">
        <v>247</v>
      </c>
      <c r="H193" s="23" t="s">
        <v>115</v>
      </c>
      <c r="I193" s="70"/>
      <c r="J193" s="70"/>
    </row>
    <row r="194" customFormat="false" ht="23.25" hidden="false" customHeight="true" outlineLevel="0" collapsed="false">
      <c r="A194" s="69" t="s">
        <v>887</v>
      </c>
      <c r="B194" s="13" t="s">
        <v>30</v>
      </c>
      <c r="C194" s="22" t="s">
        <v>1021</v>
      </c>
      <c r="D194" s="23" t="s">
        <v>1022</v>
      </c>
      <c r="E194" s="23" t="s">
        <v>1023</v>
      </c>
      <c r="F194" s="23" t="s">
        <v>1024</v>
      </c>
      <c r="G194" s="23" t="s">
        <v>744</v>
      </c>
      <c r="H194" s="23" t="s">
        <v>115</v>
      </c>
      <c r="I194" s="70"/>
      <c r="J194" s="70"/>
    </row>
    <row r="195" customFormat="false" ht="23.25" hidden="false" customHeight="true" outlineLevel="0" collapsed="false">
      <c r="A195" s="69" t="s">
        <v>887</v>
      </c>
      <c r="B195" s="13" t="s">
        <v>30</v>
      </c>
      <c r="C195" s="22" t="s">
        <v>1025</v>
      </c>
      <c r="D195" s="23" t="s">
        <v>1026</v>
      </c>
      <c r="E195" s="23" t="s">
        <v>1023</v>
      </c>
      <c r="F195" s="23" t="s">
        <v>1024</v>
      </c>
      <c r="G195" s="23" t="s">
        <v>247</v>
      </c>
      <c r="H195" s="23" t="s">
        <v>115</v>
      </c>
      <c r="I195" s="70"/>
      <c r="J195" s="70"/>
    </row>
    <row r="196" customFormat="false" ht="23.25" hidden="false" customHeight="true" outlineLevel="0" collapsed="false">
      <c r="A196" s="69" t="s">
        <v>887</v>
      </c>
      <c r="B196" s="13" t="s">
        <v>28</v>
      </c>
      <c r="C196" s="38" t="s">
        <v>1027</v>
      </c>
      <c r="D196" s="39" t="s">
        <v>1028</v>
      </c>
      <c r="E196" s="39" t="s">
        <v>1029</v>
      </c>
      <c r="F196" s="39" t="s">
        <v>1030</v>
      </c>
      <c r="G196" s="39" t="s">
        <v>744</v>
      </c>
      <c r="H196" s="39" t="s">
        <v>142</v>
      </c>
      <c r="I196" s="70"/>
      <c r="J196" s="70"/>
    </row>
    <row r="197" customFormat="false" ht="23.25" hidden="false" customHeight="true" outlineLevel="0" collapsed="false">
      <c r="A197" s="69" t="s">
        <v>887</v>
      </c>
      <c r="B197" s="13" t="s">
        <v>37</v>
      </c>
      <c r="C197" s="22" t="s">
        <v>1031</v>
      </c>
      <c r="D197" s="23" t="s">
        <v>1032</v>
      </c>
      <c r="E197" s="23" t="s">
        <v>1033</v>
      </c>
      <c r="F197" s="23" t="s">
        <v>1034</v>
      </c>
      <c r="G197" s="23" t="s">
        <v>739</v>
      </c>
      <c r="H197" s="23" t="s">
        <v>142</v>
      </c>
      <c r="I197" s="70"/>
      <c r="J197" s="70"/>
    </row>
    <row r="198" customFormat="false" ht="23.25" hidden="false" customHeight="true" outlineLevel="0" collapsed="false">
      <c r="A198" s="69" t="s">
        <v>887</v>
      </c>
      <c r="B198" s="13" t="s">
        <v>26</v>
      </c>
      <c r="C198" s="22" t="s">
        <v>1035</v>
      </c>
      <c r="D198" s="23" t="s">
        <v>1036</v>
      </c>
      <c r="E198" s="23" t="s">
        <v>1037</v>
      </c>
      <c r="F198" s="23" t="s">
        <v>1038</v>
      </c>
      <c r="G198" s="23" t="s">
        <v>739</v>
      </c>
      <c r="H198" s="23" t="s">
        <v>115</v>
      </c>
      <c r="I198" s="70"/>
      <c r="J198" s="70"/>
    </row>
    <row r="199" customFormat="false" ht="23.25" hidden="false" customHeight="true" outlineLevel="0" collapsed="false">
      <c r="A199" s="69" t="s">
        <v>887</v>
      </c>
      <c r="B199" s="13" t="s">
        <v>26</v>
      </c>
      <c r="C199" s="22" t="s">
        <v>1039</v>
      </c>
      <c r="D199" s="23" t="s">
        <v>1040</v>
      </c>
      <c r="E199" s="23" t="s">
        <v>1041</v>
      </c>
      <c r="F199" s="23" t="s">
        <v>1042</v>
      </c>
      <c r="G199" s="23" t="s">
        <v>753</v>
      </c>
      <c r="H199" s="23" t="s">
        <v>142</v>
      </c>
      <c r="I199" s="70"/>
      <c r="J199" s="70"/>
    </row>
    <row r="200" customFormat="false" ht="23.25" hidden="false" customHeight="true" outlineLevel="0" collapsed="false">
      <c r="A200" s="69" t="s">
        <v>887</v>
      </c>
      <c r="B200" s="13" t="s">
        <v>26</v>
      </c>
      <c r="C200" s="22" t="s">
        <v>1043</v>
      </c>
      <c r="D200" s="23" t="s">
        <v>1044</v>
      </c>
      <c r="E200" s="23" t="s">
        <v>1045</v>
      </c>
      <c r="F200" s="23" t="s">
        <v>1046</v>
      </c>
      <c r="G200" s="23" t="s">
        <v>247</v>
      </c>
      <c r="H200" s="23" t="s">
        <v>142</v>
      </c>
      <c r="I200" s="70"/>
      <c r="J200" s="70"/>
    </row>
    <row r="201" customFormat="false" ht="23.25" hidden="false" customHeight="true" outlineLevel="0" collapsed="false">
      <c r="A201" s="69" t="s">
        <v>887</v>
      </c>
      <c r="B201" s="13" t="s">
        <v>26</v>
      </c>
      <c r="C201" s="26" t="s">
        <v>1047</v>
      </c>
      <c r="D201" s="27" t="s">
        <v>1048</v>
      </c>
      <c r="E201" s="27" t="s">
        <v>1049</v>
      </c>
      <c r="F201" s="27" t="s">
        <v>1050</v>
      </c>
      <c r="G201" s="27" t="s">
        <v>744</v>
      </c>
      <c r="H201" s="27" t="s">
        <v>115</v>
      </c>
      <c r="I201" s="70"/>
      <c r="J201" s="70"/>
    </row>
    <row r="205" customFormat="false" ht="13.5" hidden="false" customHeight="true" outlineLevel="0" collapsed="false">
      <c r="A205" s="57" t="s">
        <v>45</v>
      </c>
      <c r="B205" s="45" t="s">
        <v>1</v>
      </c>
      <c r="C205" s="18" t="s">
        <v>47</v>
      </c>
      <c r="D205" s="19" t="s">
        <v>1051</v>
      </c>
      <c r="E205" s="19" t="s">
        <v>92</v>
      </c>
      <c r="F205" s="19" t="s">
        <v>51</v>
      </c>
      <c r="G205" s="19" t="s">
        <v>52</v>
      </c>
      <c r="H205" s="19" t="s">
        <v>53</v>
      </c>
      <c r="I205" s="21" t="s">
        <v>54</v>
      </c>
      <c r="J205" s="68"/>
      <c r="K205" s="68"/>
    </row>
    <row r="206" customFormat="false" ht="23.25" hidden="false" customHeight="true" outlineLevel="0" collapsed="false">
      <c r="A206" s="69" t="s">
        <v>1052</v>
      </c>
      <c r="B206" s="13" t="s">
        <v>37</v>
      </c>
      <c r="C206" s="30" t="s">
        <v>1053</v>
      </c>
      <c r="D206" s="31" t="s">
        <v>1054</v>
      </c>
      <c r="E206" s="31" t="s">
        <v>98</v>
      </c>
      <c r="F206" s="31" t="s">
        <v>1055</v>
      </c>
      <c r="G206" s="31" t="s">
        <v>1056</v>
      </c>
      <c r="H206" s="31" t="s">
        <v>73</v>
      </c>
      <c r="I206" s="33" t="s">
        <v>1057</v>
      </c>
      <c r="J206" s="70"/>
      <c r="K206" s="70"/>
    </row>
    <row r="207" customFormat="false" ht="23.25" hidden="false" customHeight="true" outlineLevel="0" collapsed="false">
      <c r="A207" s="69" t="s">
        <v>1052</v>
      </c>
      <c r="B207" s="13" t="s">
        <v>37</v>
      </c>
      <c r="C207" s="30" t="s">
        <v>1058</v>
      </c>
      <c r="D207" s="31" t="s">
        <v>1054</v>
      </c>
      <c r="E207" s="31" t="s">
        <v>98</v>
      </c>
      <c r="F207" s="31" t="s">
        <v>1055</v>
      </c>
      <c r="G207" s="31" t="s">
        <v>1056</v>
      </c>
      <c r="H207" s="31" t="s">
        <v>73</v>
      </c>
      <c r="I207" s="33" t="s">
        <v>267</v>
      </c>
      <c r="J207" s="70"/>
      <c r="K207" s="70"/>
    </row>
    <row r="208" customFormat="false" ht="23.25" hidden="false" customHeight="true" outlineLevel="0" collapsed="false">
      <c r="A208" s="69" t="s">
        <v>1052</v>
      </c>
      <c r="B208" s="13" t="s">
        <v>37</v>
      </c>
      <c r="C208" s="30" t="s">
        <v>1059</v>
      </c>
      <c r="D208" s="31" t="s">
        <v>399</v>
      </c>
      <c r="E208" s="31" t="s">
        <v>98</v>
      </c>
      <c r="F208" s="31" t="s">
        <v>1060</v>
      </c>
      <c r="G208" s="31" t="s">
        <v>1061</v>
      </c>
      <c r="H208" s="31" t="s">
        <v>1062</v>
      </c>
      <c r="I208" s="33" t="s">
        <v>1063</v>
      </c>
      <c r="J208" s="70"/>
      <c r="K208" s="70"/>
    </row>
    <row r="209" customFormat="false" ht="23.25" hidden="false" customHeight="true" outlineLevel="0" collapsed="false">
      <c r="A209" s="69" t="s">
        <v>1052</v>
      </c>
      <c r="B209" s="13" t="s">
        <v>37</v>
      </c>
      <c r="C209" s="22" t="s">
        <v>1064</v>
      </c>
      <c r="D209" s="23" t="s">
        <v>1065</v>
      </c>
      <c r="E209" s="23" t="s">
        <v>98</v>
      </c>
      <c r="F209" s="23" t="s">
        <v>1066</v>
      </c>
      <c r="G209" s="23" t="s">
        <v>1067</v>
      </c>
      <c r="H209" s="23" t="s">
        <v>1068</v>
      </c>
      <c r="I209" s="25" t="s">
        <v>1069</v>
      </c>
      <c r="J209" s="70"/>
      <c r="K209" s="70"/>
    </row>
    <row r="210" customFormat="false" ht="23.25" hidden="false" customHeight="true" outlineLevel="0" collapsed="false">
      <c r="A210" s="69" t="s">
        <v>1052</v>
      </c>
      <c r="B210" s="13" t="s">
        <v>37</v>
      </c>
      <c r="C210" s="30" t="s">
        <v>1070</v>
      </c>
      <c r="D210" s="31" t="s">
        <v>1054</v>
      </c>
      <c r="E210" s="31" t="s">
        <v>98</v>
      </c>
      <c r="F210" s="31" t="s">
        <v>883</v>
      </c>
      <c r="G210" s="31" t="s">
        <v>884</v>
      </c>
      <c r="H210" s="31" t="s">
        <v>73</v>
      </c>
      <c r="I210" s="33" t="s">
        <v>271</v>
      </c>
      <c r="J210" s="70"/>
      <c r="K210" s="70"/>
    </row>
    <row r="211" customFormat="false" ht="23.25" hidden="false" customHeight="true" outlineLevel="0" collapsed="false">
      <c r="A211" s="69" t="s">
        <v>1052</v>
      </c>
      <c r="B211" s="13" t="s">
        <v>37</v>
      </c>
      <c r="C211" s="30" t="s">
        <v>1071</v>
      </c>
      <c r="D211" s="31" t="s">
        <v>1054</v>
      </c>
      <c r="E211" s="31" t="s">
        <v>98</v>
      </c>
      <c r="F211" s="31" t="s">
        <v>883</v>
      </c>
      <c r="G211" s="31" t="s">
        <v>884</v>
      </c>
      <c r="H211" s="31" t="s">
        <v>73</v>
      </c>
      <c r="I211" s="33" t="s">
        <v>1072</v>
      </c>
      <c r="J211" s="70"/>
      <c r="K211" s="70"/>
    </row>
    <row r="212" customFormat="false" ht="23.25" hidden="false" customHeight="true" outlineLevel="0" collapsed="false">
      <c r="A212" s="69" t="s">
        <v>1052</v>
      </c>
      <c r="B212" s="13" t="s">
        <v>37</v>
      </c>
      <c r="C212" s="30" t="s">
        <v>1073</v>
      </c>
      <c r="D212" s="31" t="s">
        <v>1054</v>
      </c>
      <c r="E212" s="31" t="s">
        <v>98</v>
      </c>
      <c r="F212" s="31" t="s">
        <v>883</v>
      </c>
      <c r="G212" s="31" t="s">
        <v>884</v>
      </c>
      <c r="H212" s="31" t="s">
        <v>73</v>
      </c>
      <c r="I212" s="33" t="s">
        <v>1074</v>
      </c>
      <c r="J212" s="70"/>
      <c r="K212" s="70"/>
    </row>
    <row r="213" customFormat="false" ht="23.25" hidden="false" customHeight="true" outlineLevel="0" collapsed="false">
      <c r="A213" s="69" t="s">
        <v>1052</v>
      </c>
      <c r="B213" s="13" t="s">
        <v>37</v>
      </c>
      <c r="C213" s="30" t="s">
        <v>1075</v>
      </c>
      <c r="D213" s="31" t="s">
        <v>1054</v>
      </c>
      <c r="E213" s="31" t="s">
        <v>98</v>
      </c>
      <c r="F213" s="31" t="s">
        <v>1076</v>
      </c>
      <c r="G213" s="31" t="s">
        <v>1077</v>
      </c>
      <c r="H213" s="31" t="s">
        <v>73</v>
      </c>
      <c r="I213" s="33" t="s">
        <v>1057</v>
      </c>
      <c r="J213" s="70"/>
      <c r="K213" s="70"/>
    </row>
    <row r="214" customFormat="false" ht="23.25" hidden="false" customHeight="true" outlineLevel="0" collapsed="false">
      <c r="A214" s="69" t="s">
        <v>1052</v>
      </c>
      <c r="B214" s="13" t="s">
        <v>37</v>
      </c>
      <c r="C214" s="30" t="s">
        <v>1078</v>
      </c>
      <c r="D214" s="31" t="s">
        <v>399</v>
      </c>
      <c r="E214" s="31" t="s">
        <v>98</v>
      </c>
      <c r="F214" s="31" t="s">
        <v>1079</v>
      </c>
      <c r="G214" s="31" t="s">
        <v>1080</v>
      </c>
      <c r="H214" s="31" t="s">
        <v>1062</v>
      </c>
      <c r="I214" s="33" t="s">
        <v>1063</v>
      </c>
      <c r="J214" s="70"/>
      <c r="K214" s="70"/>
    </row>
    <row r="215" customFormat="false" ht="23.25" hidden="false" customHeight="true" outlineLevel="0" collapsed="false">
      <c r="A215" s="69" t="s">
        <v>1052</v>
      </c>
      <c r="B215" s="13" t="s">
        <v>37</v>
      </c>
      <c r="C215" s="30" t="s">
        <v>1081</v>
      </c>
      <c r="D215" s="31" t="s">
        <v>1082</v>
      </c>
      <c r="E215" s="31" t="s">
        <v>98</v>
      </c>
      <c r="F215" s="31" t="s">
        <v>1083</v>
      </c>
      <c r="G215" s="31" t="s">
        <v>1084</v>
      </c>
      <c r="H215" s="31" t="s">
        <v>1085</v>
      </c>
      <c r="I215" s="33" t="s">
        <v>269</v>
      </c>
      <c r="J215" s="70"/>
      <c r="K215" s="70"/>
    </row>
    <row r="216" customFormat="false" ht="23.25" hidden="false" customHeight="true" outlineLevel="0" collapsed="false">
      <c r="A216" s="69" t="s">
        <v>1052</v>
      </c>
      <c r="B216" s="13" t="s">
        <v>36</v>
      </c>
      <c r="C216" s="22" t="s">
        <v>1086</v>
      </c>
      <c r="D216" s="23" t="s">
        <v>1087</v>
      </c>
      <c r="E216" s="23" t="s">
        <v>98</v>
      </c>
      <c r="F216" s="23" t="s">
        <v>1088</v>
      </c>
      <c r="G216" s="23" t="s">
        <v>1089</v>
      </c>
      <c r="H216" s="23" t="s">
        <v>1090</v>
      </c>
      <c r="I216" s="25" t="s">
        <v>267</v>
      </c>
      <c r="J216" s="70"/>
      <c r="K216" s="70"/>
    </row>
    <row r="217" customFormat="false" ht="23.25" hidden="false" customHeight="true" outlineLevel="0" collapsed="false">
      <c r="A217" s="69" t="s">
        <v>1052</v>
      </c>
      <c r="B217" s="13" t="s">
        <v>36</v>
      </c>
      <c r="C217" s="22" t="s">
        <v>1091</v>
      </c>
      <c r="D217" s="23" t="s">
        <v>1087</v>
      </c>
      <c r="E217" s="23" t="s">
        <v>98</v>
      </c>
      <c r="F217" s="23" t="s">
        <v>1088</v>
      </c>
      <c r="G217" s="23" t="s">
        <v>1089</v>
      </c>
      <c r="H217" s="23" t="s">
        <v>1062</v>
      </c>
      <c r="I217" s="25" t="s">
        <v>267</v>
      </c>
      <c r="J217" s="70"/>
      <c r="K217" s="70"/>
    </row>
    <row r="218" customFormat="false" ht="23.25" hidden="false" customHeight="true" outlineLevel="0" collapsed="false">
      <c r="A218" s="69" t="s">
        <v>1052</v>
      </c>
      <c r="B218" s="13" t="s">
        <v>36</v>
      </c>
      <c r="C218" s="22" t="s">
        <v>1092</v>
      </c>
      <c r="D218" s="23" t="s">
        <v>1093</v>
      </c>
      <c r="E218" s="23" t="s">
        <v>98</v>
      </c>
      <c r="F218" s="23" t="s">
        <v>1094</v>
      </c>
      <c r="G218" s="23" t="s">
        <v>1095</v>
      </c>
      <c r="H218" s="23" t="s">
        <v>1062</v>
      </c>
      <c r="I218" s="25" t="s">
        <v>267</v>
      </c>
      <c r="J218" s="70"/>
      <c r="K218" s="70"/>
    </row>
    <row r="219" customFormat="false" ht="23.25" hidden="false" customHeight="true" outlineLevel="0" collapsed="false">
      <c r="A219" s="69" t="s">
        <v>1052</v>
      </c>
      <c r="B219" s="13" t="s">
        <v>36</v>
      </c>
      <c r="C219" s="30" t="s">
        <v>1096</v>
      </c>
      <c r="D219" s="31" t="s">
        <v>136</v>
      </c>
      <c r="E219" s="31" t="s">
        <v>98</v>
      </c>
      <c r="F219" s="31" t="s">
        <v>1097</v>
      </c>
      <c r="G219" s="31" t="s">
        <v>1098</v>
      </c>
      <c r="H219" s="31" t="s">
        <v>1068</v>
      </c>
      <c r="I219" s="33" t="s">
        <v>277</v>
      </c>
      <c r="J219" s="70"/>
      <c r="K219" s="70"/>
    </row>
    <row r="220" customFormat="false" ht="23.25" hidden="false" customHeight="true" outlineLevel="0" collapsed="false">
      <c r="A220" s="69" t="s">
        <v>1052</v>
      </c>
      <c r="B220" s="13" t="s">
        <v>36</v>
      </c>
      <c r="C220" s="22" t="s">
        <v>1099</v>
      </c>
      <c r="D220" s="23" t="s">
        <v>1087</v>
      </c>
      <c r="E220" s="23" t="s">
        <v>98</v>
      </c>
      <c r="F220" s="23" t="s">
        <v>1100</v>
      </c>
      <c r="G220" s="23" t="s">
        <v>1101</v>
      </c>
      <c r="H220" s="23" t="s">
        <v>1062</v>
      </c>
      <c r="I220" s="25" t="s">
        <v>271</v>
      </c>
      <c r="J220" s="70"/>
      <c r="K220" s="70"/>
    </row>
    <row r="221" customFormat="false" ht="23.25" hidden="false" customHeight="true" outlineLevel="0" collapsed="false">
      <c r="A221" s="69" t="s">
        <v>1052</v>
      </c>
      <c r="B221" s="13" t="s">
        <v>35</v>
      </c>
      <c r="C221" s="30" t="s">
        <v>1102</v>
      </c>
      <c r="D221" s="31" t="s">
        <v>1103</v>
      </c>
      <c r="E221" s="31" t="s">
        <v>98</v>
      </c>
      <c r="F221" s="31" t="s">
        <v>808</v>
      </c>
      <c r="G221" s="31" t="s">
        <v>809</v>
      </c>
      <c r="H221" s="31" t="s">
        <v>1062</v>
      </c>
      <c r="I221" s="33" t="s">
        <v>1104</v>
      </c>
      <c r="J221" s="70"/>
      <c r="K221" s="70"/>
    </row>
    <row r="222" customFormat="false" ht="23.25" hidden="false" customHeight="true" outlineLevel="0" collapsed="false">
      <c r="A222" s="69" t="s">
        <v>1052</v>
      </c>
      <c r="B222" s="13" t="s">
        <v>35</v>
      </c>
      <c r="C222" s="30" t="s">
        <v>1105</v>
      </c>
      <c r="D222" s="31" t="s">
        <v>1082</v>
      </c>
      <c r="E222" s="31" t="s">
        <v>98</v>
      </c>
      <c r="F222" s="31" t="s">
        <v>1106</v>
      </c>
      <c r="G222" s="31" t="s">
        <v>1107</v>
      </c>
      <c r="H222" s="31" t="s">
        <v>1062</v>
      </c>
      <c r="I222" s="33" t="s">
        <v>475</v>
      </c>
      <c r="J222" s="70"/>
      <c r="K222" s="70"/>
    </row>
    <row r="223" customFormat="false" ht="23.25" hidden="false" customHeight="true" outlineLevel="0" collapsed="false">
      <c r="A223" s="69" t="s">
        <v>1052</v>
      </c>
      <c r="B223" s="13" t="s">
        <v>35</v>
      </c>
      <c r="C223" s="30" t="s">
        <v>1108</v>
      </c>
      <c r="D223" s="31" t="s">
        <v>1082</v>
      </c>
      <c r="E223" s="31" t="s">
        <v>98</v>
      </c>
      <c r="F223" s="31" t="s">
        <v>1106</v>
      </c>
      <c r="G223" s="31" t="s">
        <v>1107</v>
      </c>
      <c r="H223" s="31" t="s">
        <v>1062</v>
      </c>
      <c r="I223" s="33" t="s">
        <v>477</v>
      </c>
      <c r="J223" s="70"/>
      <c r="K223" s="70"/>
    </row>
    <row r="224" customFormat="false" ht="23.25" hidden="false" customHeight="true" outlineLevel="0" collapsed="false">
      <c r="A224" s="69" t="s">
        <v>1052</v>
      </c>
      <c r="B224" s="13" t="s">
        <v>35</v>
      </c>
      <c r="C224" s="30" t="s">
        <v>1109</v>
      </c>
      <c r="D224" s="31" t="s">
        <v>1082</v>
      </c>
      <c r="E224" s="31" t="s">
        <v>98</v>
      </c>
      <c r="F224" s="31" t="s">
        <v>1106</v>
      </c>
      <c r="G224" s="31" t="s">
        <v>1107</v>
      </c>
      <c r="H224" s="31" t="s">
        <v>1062</v>
      </c>
      <c r="I224" s="33" t="s">
        <v>479</v>
      </c>
      <c r="J224" s="70"/>
      <c r="K224" s="70"/>
    </row>
    <row r="225" customFormat="false" ht="23.25" hidden="false" customHeight="true" outlineLevel="0" collapsed="false">
      <c r="A225" s="69" t="s">
        <v>1052</v>
      </c>
      <c r="B225" s="13" t="s">
        <v>35</v>
      </c>
      <c r="C225" s="30" t="s">
        <v>1110</v>
      </c>
      <c r="D225" s="31" t="s">
        <v>1082</v>
      </c>
      <c r="E225" s="31" t="s">
        <v>98</v>
      </c>
      <c r="F225" s="31" t="s">
        <v>1106</v>
      </c>
      <c r="G225" s="31" t="s">
        <v>1107</v>
      </c>
      <c r="H225" s="31" t="s">
        <v>1062</v>
      </c>
      <c r="I225" s="33" t="s">
        <v>170</v>
      </c>
      <c r="J225" s="70"/>
      <c r="K225" s="70"/>
    </row>
    <row r="226" customFormat="false" ht="23.25" hidden="false" customHeight="true" outlineLevel="0" collapsed="false">
      <c r="A226" s="69" t="s">
        <v>1052</v>
      </c>
      <c r="B226" s="13" t="s">
        <v>35</v>
      </c>
      <c r="C226" s="30" t="s">
        <v>1111</v>
      </c>
      <c r="D226" s="31" t="s">
        <v>1082</v>
      </c>
      <c r="E226" s="31" t="s">
        <v>98</v>
      </c>
      <c r="F226" s="31" t="s">
        <v>1106</v>
      </c>
      <c r="G226" s="31" t="s">
        <v>1107</v>
      </c>
      <c r="H226" s="31" t="s">
        <v>1062</v>
      </c>
      <c r="I226" s="33" t="s">
        <v>86</v>
      </c>
      <c r="J226" s="70"/>
      <c r="K226" s="70"/>
    </row>
    <row r="227" customFormat="false" ht="23.25" hidden="false" customHeight="true" outlineLevel="0" collapsed="false">
      <c r="A227" s="69" t="s">
        <v>1052</v>
      </c>
      <c r="B227" s="13" t="s">
        <v>35</v>
      </c>
      <c r="C227" s="30" t="s">
        <v>1112</v>
      </c>
      <c r="D227" s="31" t="s">
        <v>1082</v>
      </c>
      <c r="E227" s="31" t="s">
        <v>98</v>
      </c>
      <c r="F227" s="31" t="s">
        <v>1106</v>
      </c>
      <c r="G227" s="31" t="s">
        <v>1107</v>
      </c>
      <c r="H227" s="31" t="s">
        <v>1062</v>
      </c>
      <c r="I227" s="33" t="s">
        <v>90</v>
      </c>
      <c r="J227" s="70"/>
      <c r="K227" s="70"/>
    </row>
    <row r="228" customFormat="false" ht="23.25" hidden="false" customHeight="true" outlineLevel="0" collapsed="false">
      <c r="A228" s="69" t="s">
        <v>1052</v>
      </c>
      <c r="B228" s="13" t="s">
        <v>35</v>
      </c>
      <c r="C228" s="30" t="s">
        <v>1113</v>
      </c>
      <c r="D228" s="31" t="s">
        <v>1082</v>
      </c>
      <c r="E228" s="31" t="s">
        <v>98</v>
      </c>
      <c r="F228" s="31" t="s">
        <v>1106</v>
      </c>
      <c r="G228" s="31" t="s">
        <v>1107</v>
      </c>
      <c r="H228" s="31" t="s">
        <v>1062</v>
      </c>
      <c r="I228" s="33" t="s">
        <v>309</v>
      </c>
      <c r="J228" s="70"/>
      <c r="K228" s="70"/>
    </row>
    <row r="229" customFormat="false" ht="23.25" hidden="false" customHeight="true" outlineLevel="0" collapsed="false">
      <c r="A229" s="69" t="s">
        <v>1052</v>
      </c>
      <c r="B229" s="13" t="s">
        <v>35</v>
      </c>
      <c r="C229" s="30" t="s">
        <v>1114</v>
      </c>
      <c r="D229" s="31" t="s">
        <v>1082</v>
      </c>
      <c r="E229" s="31" t="s">
        <v>98</v>
      </c>
      <c r="F229" s="31" t="s">
        <v>1106</v>
      </c>
      <c r="G229" s="31" t="s">
        <v>1107</v>
      </c>
      <c r="H229" s="31" t="s">
        <v>1062</v>
      </c>
      <c r="I229" s="33" t="s">
        <v>166</v>
      </c>
      <c r="J229" s="70"/>
      <c r="K229" s="70"/>
    </row>
    <row r="230" customFormat="false" ht="23.25" hidden="false" customHeight="true" outlineLevel="0" collapsed="false">
      <c r="A230" s="69" t="s">
        <v>1052</v>
      </c>
      <c r="B230" s="13" t="s">
        <v>35</v>
      </c>
      <c r="C230" s="30" t="s">
        <v>1115</v>
      </c>
      <c r="D230" s="31" t="s">
        <v>1082</v>
      </c>
      <c r="E230" s="31" t="s">
        <v>98</v>
      </c>
      <c r="F230" s="31" t="s">
        <v>1106</v>
      </c>
      <c r="G230" s="31" t="s">
        <v>1107</v>
      </c>
      <c r="H230" s="31" t="s">
        <v>1062</v>
      </c>
      <c r="I230" s="33" t="s">
        <v>168</v>
      </c>
      <c r="J230" s="70"/>
      <c r="K230" s="70"/>
    </row>
    <row r="231" customFormat="false" ht="23.25" hidden="false" customHeight="true" outlineLevel="0" collapsed="false">
      <c r="A231" s="69" t="s">
        <v>1052</v>
      </c>
      <c r="B231" s="13" t="s">
        <v>35</v>
      </c>
      <c r="C231" s="30" t="s">
        <v>1116</v>
      </c>
      <c r="D231" s="31" t="s">
        <v>1082</v>
      </c>
      <c r="E231" s="31" t="s">
        <v>98</v>
      </c>
      <c r="F231" s="31" t="s">
        <v>1106</v>
      </c>
      <c r="G231" s="31" t="s">
        <v>1107</v>
      </c>
      <c r="H231" s="31" t="s">
        <v>1062</v>
      </c>
      <c r="I231" s="33" t="s">
        <v>312</v>
      </c>
      <c r="J231" s="70"/>
      <c r="K231" s="70"/>
    </row>
    <row r="232" customFormat="false" ht="23.25" hidden="false" customHeight="true" outlineLevel="0" collapsed="false">
      <c r="A232" s="69" t="s">
        <v>1052</v>
      </c>
      <c r="B232" s="13" t="s">
        <v>35</v>
      </c>
      <c r="C232" s="30" t="s">
        <v>1117</v>
      </c>
      <c r="D232" s="31" t="s">
        <v>1082</v>
      </c>
      <c r="E232" s="31" t="s">
        <v>98</v>
      </c>
      <c r="F232" s="31" t="s">
        <v>1106</v>
      </c>
      <c r="G232" s="31" t="s">
        <v>1107</v>
      </c>
      <c r="H232" s="31" t="s">
        <v>1062</v>
      </c>
      <c r="I232" s="33" t="s">
        <v>314</v>
      </c>
      <c r="J232" s="70"/>
      <c r="K232" s="70"/>
    </row>
    <row r="233" customFormat="false" ht="23.25" hidden="false" customHeight="true" outlineLevel="0" collapsed="false">
      <c r="A233" s="69" t="s">
        <v>1052</v>
      </c>
      <c r="B233" s="13" t="s">
        <v>35</v>
      </c>
      <c r="C233" s="30" t="s">
        <v>1118</v>
      </c>
      <c r="D233" s="31" t="s">
        <v>1082</v>
      </c>
      <c r="E233" s="31" t="s">
        <v>98</v>
      </c>
      <c r="F233" s="31" t="s">
        <v>1106</v>
      </c>
      <c r="G233" s="31" t="s">
        <v>1107</v>
      </c>
      <c r="H233" s="31" t="s">
        <v>1062</v>
      </c>
      <c r="I233" s="33" t="s">
        <v>74</v>
      </c>
      <c r="J233" s="70"/>
      <c r="K233" s="70"/>
    </row>
    <row r="234" customFormat="false" ht="23.25" hidden="false" customHeight="true" outlineLevel="0" collapsed="false">
      <c r="A234" s="69" t="s">
        <v>1052</v>
      </c>
      <c r="B234" s="13" t="s">
        <v>35</v>
      </c>
      <c r="C234" s="30" t="s">
        <v>1119</v>
      </c>
      <c r="D234" s="31" t="s">
        <v>1082</v>
      </c>
      <c r="E234" s="31" t="s">
        <v>98</v>
      </c>
      <c r="F234" s="31" t="s">
        <v>1106</v>
      </c>
      <c r="G234" s="31" t="s">
        <v>1107</v>
      </c>
      <c r="H234" s="31" t="s">
        <v>1062</v>
      </c>
      <c r="I234" s="33" t="s">
        <v>1120</v>
      </c>
      <c r="J234" s="70"/>
      <c r="K234" s="70"/>
    </row>
    <row r="235" customFormat="false" ht="23.25" hidden="false" customHeight="true" outlineLevel="0" collapsed="false">
      <c r="A235" s="69" t="s">
        <v>1052</v>
      </c>
      <c r="B235" s="13" t="s">
        <v>35</v>
      </c>
      <c r="C235" s="30" t="s">
        <v>1121</v>
      </c>
      <c r="D235" s="31" t="s">
        <v>1082</v>
      </c>
      <c r="E235" s="31" t="s">
        <v>98</v>
      </c>
      <c r="F235" s="31" t="s">
        <v>1106</v>
      </c>
      <c r="G235" s="31" t="s">
        <v>1107</v>
      </c>
      <c r="H235" s="31" t="s">
        <v>1062</v>
      </c>
      <c r="I235" s="33" t="s">
        <v>194</v>
      </c>
      <c r="J235" s="70"/>
      <c r="K235" s="70"/>
    </row>
    <row r="236" customFormat="false" ht="23.25" hidden="false" customHeight="true" outlineLevel="0" collapsed="false">
      <c r="A236" s="69" t="s">
        <v>1052</v>
      </c>
      <c r="B236" s="13" t="s">
        <v>35</v>
      </c>
      <c r="C236" s="30" t="s">
        <v>1122</v>
      </c>
      <c r="D236" s="31" t="s">
        <v>1082</v>
      </c>
      <c r="E236" s="31" t="s">
        <v>98</v>
      </c>
      <c r="F236" s="31" t="s">
        <v>1106</v>
      </c>
      <c r="G236" s="31" t="s">
        <v>1107</v>
      </c>
      <c r="H236" s="31" t="s">
        <v>1062</v>
      </c>
      <c r="I236" s="33" t="s">
        <v>197</v>
      </c>
      <c r="J236" s="70"/>
      <c r="K236" s="70"/>
    </row>
    <row r="237" customFormat="false" ht="23.25" hidden="false" customHeight="true" outlineLevel="0" collapsed="false">
      <c r="A237" s="69" t="s">
        <v>1052</v>
      </c>
      <c r="B237" s="13" t="s">
        <v>35</v>
      </c>
      <c r="C237" s="30" t="s">
        <v>1123</v>
      </c>
      <c r="D237" s="31" t="s">
        <v>1082</v>
      </c>
      <c r="E237" s="31" t="s">
        <v>98</v>
      </c>
      <c r="F237" s="31" t="s">
        <v>1106</v>
      </c>
      <c r="G237" s="31" t="s">
        <v>1107</v>
      </c>
      <c r="H237" s="31" t="s">
        <v>1062</v>
      </c>
      <c r="I237" s="33" t="s">
        <v>199</v>
      </c>
      <c r="J237" s="70"/>
      <c r="K237" s="70"/>
    </row>
    <row r="238" customFormat="false" ht="23.25" hidden="false" customHeight="true" outlineLevel="0" collapsed="false">
      <c r="A238" s="69" t="s">
        <v>1052</v>
      </c>
      <c r="B238" s="13" t="s">
        <v>35</v>
      </c>
      <c r="C238" s="30" t="s">
        <v>1124</v>
      </c>
      <c r="D238" s="31" t="s">
        <v>1082</v>
      </c>
      <c r="E238" s="31" t="s">
        <v>98</v>
      </c>
      <c r="F238" s="31" t="s">
        <v>1106</v>
      </c>
      <c r="G238" s="31" t="s">
        <v>1107</v>
      </c>
      <c r="H238" s="31" t="s">
        <v>1062</v>
      </c>
      <c r="I238" s="33" t="s">
        <v>201</v>
      </c>
      <c r="J238" s="70"/>
      <c r="K238" s="70"/>
    </row>
    <row r="239" customFormat="false" ht="23.25" hidden="false" customHeight="true" outlineLevel="0" collapsed="false">
      <c r="A239" s="69" t="s">
        <v>1052</v>
      </c>
      <c r="B239" s="13" t="s">
        <v>35</v>
      </c>
      <c r="C239" s="30" t="s">
        <v>1125</v>
      </c>
      <c r="D239" s="31" t="s">
        <v>1082</v>
      </c>
      <c r="E239" s="31" t="s">
        <v>98</v>
      </c>
      <c r="F239" s="31" t="s">
        <v>1106</v>
      </c>
      <c r="G239" s="31" t="s">
        <v>1107</v>
      </c>
      <c r="H239" s="31" t="s">
        <v>1062</v>
      </c>
      <c r="I239" s="33" t="s">
        <v>203</v>
      </c>
      <c r="J239" s="70"/>
      <c r="K239" s="70"/>
    </row>
    <row r="240" customFormat="false" ht="23.25" hidden="false" customHeight="true" outlineLevel="0" collapsed="false">
      <c r="A240" s="69" t="s">
        <v>1052</v>
      </c>
      <c r="B240" s="13" t="s">
        <v>35</v>
      </c>
      <c r="C240" s="30" t="s">
        <v>1126</v>
      </c>
      <c r="D240" s="31" t="s">
        <v>1082</v>
      </c>
      <c r="E240" s="31" t="s">
        <v>98</v>
      </c>
      <c r="F240" s="31" t="s">
        <v>1106</v>
      </c>
      <c r="G240" s="31" t="s">
        <v>1107</v>
      </c>
      <c r="H240" s="31" t="s">
        <v>1062</v>
      </c>
      <c r="I240" s="33" t="s">
        <v>205</v>
      </c>
      <c r="J240" s="70"/>
      <c r="K240" s="70"/>
    </row>
    <row r="241" customFormat="false" ht="23.25" hidden="false" customHeight="true" outlineLevel="0" collapsed="false">
      <c r="A241" s="69" t="s">
        <v>1052</v>
      </c>
      <c r="B241" s="13" t="s">
        <v>35</v>
      </c>
      <c r="C241" s="30" t="s">
        <v>1127</v>
      </c>
      <c r="D241" s="31" t="s">
        <v>1082</v>
      </c>
      <c r="E241" s="31" t="s">
        <v>98</v>
      </c>
      <c r="F241" s="31" t="s">
        <v>1106</v>
      </c>
      <c r="G241" s="31" t="s">
        <v>1107</v>
      </c>
      <c r="H241" s="31" t="s">
        <v>1062</v>
      </c>
      <c r="I241" s="33" t="s">
        <v>209</v>
      </c>
      <c r="J241" s="70"/>
      <c r="K241" s="70"/>
    </row>
    <row r="242" customFormat="false" ht="23.25" hidden="false" customHeight="true" outlineLevel="0" collapsed="false">
      <c r="A242" s="69" t="s">
        <v>1052</v>
      </c>
      <c r="B242" s="13" t="s">
        <v>35</v>
      </c>
      <c r="C242" s="30" t="s">
        <v>1128</v>
      </c>
      <c r="D242" s="31" t="s">
        <v>1082</v>
      </c>
      <c r="E242" s="31" t="s">
        <v>98</v>
      </c>
      <c r="F242" s="31" t="s">
        <v>1106</v>
      </c>
      <c r="G242" s="31" t="s">
        <v>1107</v>
      </c>
      <c r="H242" s="31" t="s">
        <v>1062</v>
      </c>
      <c r="I242" s="33" t="s">
        <v>211</v>
      </c>
      <c r="J242" s="70"/>
      <c r="K242" s="70"/>
    </row>
    <row r="243" customFormat="false" ht="23.25" hidden="false" customHeight="true" outlineLevel="0" collapsed="false">
      <c r="A243" s="69" t="s">
        <v>1052</v>
      </c>
      <c r="B243" s="13" t="s">
        <v>35</v>
      </c>
      <c r="C243" s="30" t="s">
        <v>1129</v>
      </c>
      <c r="D243" s="31" t="s">
        <v>1082</v>
      </c>
      <c r="E243" s="31" t="s">
        <v>98</v>
      </c>
      <c r="F243" s="31" t="s">
        <v>1106</v>
      </c>
      <c r="G243" s="31" t="s">
        <v>1107</v>
      </c>
      <c r="H243" s="31" t="s">
        <v>1062</v>
      </c>
      <c r="I243" s="33" t="s">
        <v>213</v>
      </c>
      <c r="J243" s="70"/>
      <c r="K243" s="70"/>
    </row>
    <row r="244" customFormat="false" ht="23.25" hidden="false" customHeight="true" outlineLevel="0" collapsed="false">
      <c r="A244" s="69" t="s">
        <v>1052</v>
      </c>
      <c r="B244" s="13" t="s">
        <v>35</v>
      </c>
      <c r="C244" s="30" t="s">
        <v>1130</v>
      </c>
      <c r="D244" s="31" t="s">
        <v>1082</v>
      </c>
      <c r="E244" s="31" t="s">
        <v>98</v>
      </c>
      <c r="F244" s="31" t="s">
        <v>1106</v>
      </c>
      <c r="G244" s="31" t="s">
        <v>1107</v>
      </c>
      <c r="H244" s="31" t="s">
        <v>1062</v>
      </c>
      <c r="I244" s="33" t="s">
        <v>215</v>
      </c>
      <c r="J244" s="70"/>
      <c r="K244" s="70"/>
    </row>
    <row r="245" customFormat="false" ht="23.25" hidden="false" customHeight="true" outlineLevel="0" collapsed="false">
      <c r="A245" s="69" t="s">
        <v>1052</v>
      </c>
      <c r="B245" s="13" t="s">
        <v>35</v>
      </c>
      <c r="C245" s="30" t="s">
        <v>1131</v>
      </c>
      <c r="D245" s="31" t="s">
        <v>1082</v>
      </c>
      <c r="E245" s="31" t="s">
        <v>98</v>
      </c>
      <c r="F245" s="31" t="s">
        <v>1106</v>
      </c>
      <c r="G245" s="31" t="s">
        <v>1107</v>
      </c>
      <c r="H245" s="31" t="s">
        <v>1062</v>
      </c>
      <c r="I245" s="33" t="s">
        <v>1132</v>
      </c>
      <c r="J245" s="70"/>
      <c r="K245" s="70"/>
    </row>
    <row r="246" customFormat="false" ht="23.25" hidden="false" customHeight="true" outlineLevel="0" collapsed="false">
      <c r="A246" s="69" t="s">
        <v>1052</v>
      </c>
      <c r="B246" s="13" t="s">
        <v>35</v>
      </c>
      <c r="C246" s="30" t="s">
        <v>1133</v>
      </c>
      <c r="D246" s="31" t="s">
        <v>1082</v>
      </c>
      <c r="E246" s="31" t="s">
        <v>98</v>
      </c>
      <c r="F246" s="31" t="s">
        <v>1106</v>
      </c>
      <c r="G246" s="31" t="s">
        <v>1107</v>
      </c>
      <c r="H246" s="31" t="s">
        <v>1062</v>
      </c>
      <c r="I246" s="33" t="s">
        <v>1134</v>
      </c>
      <c r="J246" s="70"/>
      <c r="K246" s="70"/>
    </row>
    <row r="247" customFormat="false" ht="23.25" hidden="false" customHeight="true" outlineLevel="0" collapsed="false">
      <c r="A247" s="69" t="s">
        <v>1052</v>
      </c>
      <c r="B247" s="13" t="s">
        <v>35</v>
      </c>
      <c r="C247" s="30" t="s">
        <v>1135</v>
      </c>
      <c r="D247" s="31" t="s">
        <v>1082</v>
      </c>
      <c r="E247" s="31" t="s">
        <v>98</v>
      </c>
      <c r="F247" s="31" t="s">
        <v>1106</v>
      </c>
      <c r="G247" s="31" t="s">
        <v>1107</v>
      </c>
      <c r="H247" s="31" t="s">
        <v>1062</v>
      </c>
      <c r="I247" s="33" t="s">
        <v>224</v>
      </c>
      <c r="J247" s="70"/>
      <c r="K247" s="70"/>
    </row>
    <row r="248" customFormat="false" ht="23.25" hidden="false" customHeight="true" outlineLevel="0" collapsed="false">
      <c r="A248" s="69" t="s">
        <v>1052</v>
      </c>
      <c r="B248" s="13" t="s">
        <v>35</v>
      </c>
      <c r="C248" s="30" t="s">
        <v>1136</v>
      </c>
      <c r="D248" s="31" t="s">
        <v>1082</v>
      </c>
      <c r="E248" s="31" t="s">
        <v>98</v>
      </c>
      <c r="F248" s="31" t="s">
        <v>1106</v>
      </c>
      <c r="G248" s="31" t="s">
        <v>1107</v>
      </c>
      <c r="H248" s="31" t="s">
        <v>1062</v>
      </c>
      <c r="I248" s="33" t="s">
        <v>128</v>
      </c>
      <c r="J248" s="70"/>
      <c r="K248" s="70"/>
    </row>
    <row r="249" customFormat="false" ht="23.25" hidden="false" customHeight="true" outlineLevel="0" collapsed="false">
      <c r="A249" s="69" t="s">
        <v>1052</v>
      </c>
      <c r="B249" s="13" t="s">
        <v>35</v>
      </c>
      <c r="C249" s="30" t="s">
        <v>1137</v>
      </c>
      <c r="D249" s="31" t="s">
        <v>1082</v>
      </c>
      <c r="E249" s="31" t="s">
        <v>98</v>
      </c>
      <c r="F249" s="31" t="s">
        <v>1106</v>
      </c>
      <c r="G249" s="31" t="s">
        <v>1107</v>
      </c>
      <c r="H249" s="31" t="s">
        <v>1062</v>
      </c>
      <c r="I249" s="33" t="s">
        <v>111</v>
      </c>
      <c r="J249" s="70"/>
      <c r="K249" s="70"/>
    </row>
    <row r="250" customFormat="false" ht="23.25" hidden="false" customHeight="true" outlineLevel="0" collapsed="false">
      <c r="A250" s="69" t="s">
        <v>1052</v>
      </c>
      <c r="B250" s="13" t="s">
        <v>35</v>
      </c>
      <c r="C250" s="30" t="s">
        <v>1138</v>
      </c>
      <c r="D250" s="31" t="s">
        <v>1082</v>
      </c>
      <c r="E250" s="31" t="s">
        <v>98</v>
      </c>
      <c r="F250" s="31" t="s">
        <v>1106</v>
      </c>
      <c r="G250" s="31" t="s">
        <v>1107</v>
      </c>
      <c r="H250" s="31" t="s">
        <v>1062</v>
      </c>
      <c r="I250" s="33" t="s">
        <v>124</v>
      </c>
      <c r="J250" s="70"/>
      <c r="K250" s="70"/>
    </row>
    <row r="251" customFormat="false" ht="23.25" hidden="false" customHeight="true" outlineLevel="0" collapsed="false">
      <c r="A251" s="69" t="s">
        <v>1052</v>
      </c>
      <c r="B251" s="13" t="s">
        <v>35</v>
      </c>
      <c r="C251" s="30" t="s">
        <v>1139</v>
      </c>
      <c r="D251" s="31" t="s">
        <v>1082</v>
      </c>
      <c r="E251" s="31" t="s">
        <v>98</v>
      </c>
      <c r="F251" s="31" t="s">
        <v>1106</v>
      </c>
      <c r="G251" s="31" t="s">
        <v>1107</v>
      </c>
      <c r="H251" s="31" t="s">
        <v>1062</v>
      </c>
      <c r="I251" s="33" t="s">
        <v>101</v>
      </c>
      <c r="J251" s="70"/>
      <c r="K251" s="70"/>
    </row>
    <row r="252" customFormat="false" ht="23.25" hidden="false" customHeight="true" outlineLevel="0" collapsed="false">
      <c r="A252" s="69" t="s">
        <v>1052</v>
      </c>
      <c r="B252" s="13" t="s">
        <v>35</v>
      </c>
      <c r="C252" s="30" t="s">
        <v>1140</v>
      </c>
      <c r="D252" s="31" t="s">
        <v>1082</v>
      </c>
      <c r="E252" s="31" t="s">
        <v>98</v>
      </c>
      <c r="F252" s="31" t="s">
        <v>1106</v>
      </c>
      <c r="G252" s="31" t="s">
        <v>1107</v>
      </c>
      <c r="H252" s="31" t="s">
        <v>1062</v>
      </c>
      <c r="I252" s="33" t="s">
        <v>119</v>
      </c>
      <c r="J252" s="70"/>
      <c r="K252" s="70"/>
    </row>
    <row r="253" customFormat="false" ht="23.25" hidden="false" customHeight="true" outlineLevel="0" collapsed="false">
      <c r="A253" s="69" t="s">
        <v>1052</v>
      </c>
      <c r="B253" s="13" t="s">
        <v>35</v>
      </c>
      <c r="C253" s="30" t="s">
        <v>1141</v>
      </c>
      <c r="D253" s="31" t="s">
        <v>1082</v>
      </c>
      <c r="E253" s="31" t="s">
        <v>98</v>
      </c>
      <c r="F253" s="31" t="s">
        <v>1106</v>
      </c>
      <c r="G253" s="31" t="s">
        <v>1107</v>
      </c>
      <c r="H253" s="31" t="s">
        <v>1062</v>
      </c>
      <c r="I253" s="33" t="s">
        <v>105</v>
      </c>
      <c r="J253" s="70"/>
      <c r="K253" s="70"/>
    </row>
    <row r="254" customFormat="false" ht="23.25" hidden="false" customHeight="true" outlineLevel="0" collapsed="false">
      <c r="A254" s="69" t="s">
        <v>1052</v>
      </c>
      <c r="B254" s="13" t="s">
        <v>35</v>
      </c>
      <c r="C254" s="30" t="s">
        <v>1142</v>
      </c>
      <c r="D254" s="31" t="s">
        <v>1082</v>
      </c>
      <c r="E254" s="31" t="s">
        <v>98</v>
      </c>
      <c r="F254" s="31" t="s">
        <v>1106</v>
      </c>
      <c r="G254" s="31" t="s">
        <v>1107</v>
      </c>
      <c r="H254" s="31" t="s">
        <v>1062</v>
      </c>
      <c r="I254" s="33" t="s">
        <v>113</v>
      </c>
      <c r="J254" s="70"/>
      <c r="K254" s="70"/>
    </row>
    <row r="255" customFormat="false" ht="23.25" hidden="false" customHeight="true" outlineLevel="0" collapsed="false">
      <c r="A255" s="69" t="s">
        <v>1052</v>
      </c>
      <c r="B255" s="13" t="s">
        <v>35</v>
      </c>
      <c r="C255" s="30" t="s">
        <v>1143</v>
      </c>
      <c r="D255" s="31" t="s">
        <v>1082</v>
      </c>
      <c r="E255" s="31" t="s">
        <v>98</v>
      </c>
      <c r="F255" s="31" t="s">
        <v>1106</v>
      </c>
      <c r="G255" s="31" t="s">
        <v>1107</v>
      </c>
      <c r="H255" s="31" t="s">
        <v>1062</v>
      </c>
      <c r="I255" s="33" t="s">
        <v>134</v>
      </c>
      <c r="J255" s="70"/>
      <c r="K255" s="70"/>
    </row>
    <row r="256" customFormat="false" ht="23.25" hidden="false" customHeight="true" outlineLevel="0" collapsed="false">
      <c r="A256" s="69" t="s">
        <v>1052</v>
      </c>
      <c r="B256" s="13" t="s">
        <v>35</v>
      </c>
      <c r="C256" s="30" t="s">
        <v>1144</v>
      </c>
      <c r="D256" s="31" t="s">
        <v>1082</v>
      </c>
      <c r="E256" s="31" t="s">
        <v>98</v>
      </c>
      <c r="F256" s="31" t="s">
        <v>1106</v>
      </c>
      <c r="G256" s="31" t="s">
        <v>1107</v>
      </c>
      <c r="H256" s="31" t="s">
        <v>1062</v>
      </c>
      <c r="I256" s="33" t="s">
        <v>126</v>
      </c>
      <c r="J256" s="70"/>
      <c r="K256" s="70"/>
    </row>
    <row r="257" customFormat="false" ht="23.25" hidden="false" customHeight="true" outlineLevel="0" collapsed="false">
      <c r="A257" s="69" t="s">
        <v>1052</v>
      </c>
      <c r="B257" s="13" t="s">
        <v>35</v>
      </c>
      <c r="C257" s="30" t="s">
        <v>1145</v>
      </c>
      <c r="D257" s="31" t="s">
        <v>1082</v>
      </c>
      <c r="E257" s="31" t="s">
        <v>98</v>
      </c>
      <c r="F257" s="31" t="s">
        <v>1106</v>
      </c>
      <c r="G257" s="31" t="s">
        <v>1107</v>
      </c>
      <c r="H257" s="31" t="s">
        <v>1062</v>
      </c>
      <c r="I257" s="33" t="s">
        <v>154</v>
      </c>
      <c r="J257" s="70"/>
      <c r="K257" s="70"/>
    </row>
    <row r="258" customFormat="false" ht="23.25" hidden="false" customHeight="true" outlineLevel="0" collapsed="false">
      <c r="A258" s="69" t="s">
        <v>1052</v>
      </c>
      <c r="B258" s="13" t="s">
        <v>35</v>
      </c>
      <c r="C258" s="30" t="s">
        <v>1146</v>
      </c>
      <c r="D258" s="31" t="s">
        <v>1082</v>
      </c>
      <c r="E258" s="31" t="s">
        <v>98</v>
      </c>
      <c r="F258" s="31" t="s">
        <v>1106</v>
      </c>
      <c r="G258" s="31" t="s">
        <v>1107</v>
      </c>
      <c r="H258" s="31" t="s">
        <v>1062</v>
      </c>
      <c r="I258" s="33" t="s">
        <v>364</v>
      </c>
      <c r="J258" s="70"/>
      <c r="K258" s="70"/>
    </row>
    <row r="259" customFormat="false" ht="23.25" hidden="false" customHeight="true" outlineLevel="0" collapsed="false">
      <c r="A259" s="69" t="s">
        <v>1052</v>
      </c>
      <c r="B259" s="13" t="s">
        <v>35</v>
      </c>
      <c r="C259" s="30" t="s">
        <v>1147</v>
      </c>
      <c r="D259" s="31" t="s">
        <v>1082</v>
      </c>
      <c r="E259" s="31" t="s">
        <v>98</v>
      </c>
      <c r="F259" s="31" t="s">
        <v>1106</v>
      </c>
      <c r="G259" s="31" t="s">
        <v>1107</v>
      </c>
      <c r="H259" s="31" t="s">
        <v>1062</v>
      </c>
      <c r="I259" s="33" t="s">
        <v>297</v>
      </c>
      <c r="J259" s="70"/>
      <c r="K259" s="70"/>
    </row>
    <row r="260" customFormat="false" ht="23.25" hidden="false" customHeight="true" outlineLevel="0" collapsed="false">
      <c r="A260" s="69" t="s">
        <v>1052</v>
      </c>
      <c r="B260" s="13" t="s">
        <v>35</v>
      </c>
      <c r="C260" s="30" t="s">
        <v>1148</v>
      </c>
      <c r="D260" s="31" t="s">
        <v>1082</v>
      </c>
      <c r="E260" s="31" t="s">
        <v>98</v>
      </c>
      <c r="F260" s="31" t="s">
        <v>1106</v>
      </c>
      <c r="G260" s="31" t="s">
        <v>1107</v>
      </c>
      <c r="H260" s="31" t="s">
        <v>1062</v>
      </c>
      <c r="I260" s="33" t="s">
        <v>151</v>
      </c>
      <c r="J260" s="70"/>
      <c r="K260" s="70"/>
    </row>
    <row r="261" customFormat="false" ht="23.25" hidden="false" customHeight="true" outlineLevel="0" collapsed="false">
      <c r="A261" s="69" t="s">
        <v>1052</v>
      </c>
      <c r="B261" s="13" t="s">
        <v>35</v>
      </c>
      <c r="C261" s="30" t="s">
        <v>1149</v>
      </c>
      <c r="D261" s="31" t="s">
        <v>1082</v>
      </c>
      <c r="E261" s="31" t="s">
        <v>98</v>
      </c>
      <c r="F261" s="31" t="s">
        <v>1106</v>
      </c>
      <c r="G261" s="31" t="s">
        <v>1107</v>
      </c>
      <c r="H261" s="31" t="s">
        <v>1062</v>
      </c>
      <c r="I261" s="33" t="s">
        <v>121</v>
      </c>
      <c r="J261" s="70"/>
      <c r="K261" s="70"/>
    </row>
    <row r="262" customFormat="false" ht="23.25" hidden="false" customHeight="true" outlineLevel="0" collapsed="false">
      <c r="A262" s="69" t="s">
        <v>1052</v>
      </c>
      <c r="B262" s="13" t="s">
        <v>35</v>
      </c>
      <c r="C262" s="30" t="s">
        <v>1150</v>
      </c>
      <c r="D262" s="31" t="s">
        <v>1082</v>
      </c>
      <c r="E262" s="31" t="s">
        <v>98</v>
      </c>
      <c r="F262" s="31" t="s">
        <v>1106</v>
      </c>
      <c r="G262" s="31" t="s">
        <v>1107</v>
      </c>
      <c r="H262" s="31" t="s">
        <v>1062</v>
      </c>
      <c r="I262" s="33" t="s">
        <v>139</v>
      </c>
      <c r="J262" s="70"/>
      <c r="K262" s="70"/>
    </row>
    <row r="263" customFormat="false" ht="23.25" hidden="false" customHeight="true" outlineLevel="0" collapsed="false">
      <c r="A263" s="69" t="s">
        <v>1052</v>
      </c>
      <c r="B263" s="13" t="s">
        <v>35</v>
      </c>
      <c r="C263" s="30" t="s">
        <v>1151</v>
      </c>
      <c r="D263" s="31" t="s">
        <v>1082</v>
      </c>
      <c r="E263" s="31" t="s">
        <v>98</v>
      </c>
      <c r="F263" s="31" t="s">
        <v>1106</v>
      </c>
      <c r="G263" s="31" t="s">
        <v>1107</v>
      </c>
      <c r="H263" s="31" t="s">
        <v>1062</v>
      </c>
      <c r="I263" s="33" t="s">
        <v>259</v>
      </c>
      <c r="J263" s="70"/>
      <c r="K263" s="70"/>
    </row>
    <row r="264" customFormat="false" ht="23.25" hidden="false" customHeight="true" outlineLevel="0" collapsed="false">
      <c r="A264" s="69" t="s">
        <v>1052</v>
      </c>
      <c r="B264" s="13" t="s">
        <v>35</v>
      </c>
      <c r="C264" s="30" t="s">
        <v>1152</v>
      </c>
      <c r="D264" s="31" t="s">
        <v>1082</v>
      </c>
      <c r="E264" s="31" t="s">
        <v>98</v>
      </c>
      <c r="F264" s="31" t="s">
        <v>1106</v>
      </c>
      <c r="G264" s="31" t="s">
        <v>1107</v>
      </c>
      <c r="H264" s="31" t="s">
        <v>1062</v>
      </c>
      <c r="I264" s="33" t="s">
        <v>257</v>
      </c>
      <c r="J264" s="70"/>
      <c r="K264" s="70"/>
    </row>
    <row r="265" customFormat="false" ht="23.25" hidden="false" customHeight="true" outlineLevel="0" collapsed="false">
      <c r="A265" s="69" t="s">
        <v>1052</v>
      </c>
      <c r="B265" s="13" t="s">
        <v>35</v>
      </c>
      <c r="C265" s="30" t="s">
        <v>1153</v>
      </c>
      <c r="D265" s="31" t="s">
        <v>1082</v>
      </c>
      <c r="E265" s="31" t="s">
        <v>98</v>
      </c>
      <c r="F265" s="31" t="s">
        <v>1106</v>
      </c>
      <c r="G265" s="31" t="s">
        <v>1107</v>
      </c>
      <c r="H265" s="31" t="s">
        <v>1062</v>
      </c>
      <c r="I265" s="33" t="s">
        <v>255</v>
      </c>
      <c r="J265" s="70"/>
      <c r="K265" s="70"/>
    </row>
    <row r="266" customFormat="false" ht="23.25" hidden="false" customHeight="true" outlineLevel="0" collapsed="false">
      <c r="A266" s="69" t="s">
        <v>1052</v>
      </c>
      <c r="B266" s="13" t="s">
        <v>35</v>
      </c>
      <c r="C266" s="30" t="s">
        <v>1154</v>
      </c>
      <c r="D266" s="31" t="s">
        <v>1082</v>
      </c>
      <c r="E266" s="31" t="s">
        <v>98</v>
      </c>
      <c r="F266" s="31" t="s">
        <v>1106</v>
      </c>
      <c r="G266" s="31" t="s">
        <v>1107</v>
      </c>
      <c r="H266" s="31" t="s">
        <v>1062</v>
      </c>
      <c r="I266" s="33" t="s">
        <v>130</v>
      </c>
      <c r="J266" s="70"/>
      <c r="K266" s="70"/>
    </row>
    <row r="267" customFormat="false" ht="23.25" hidden="false" customHeight="true" outlineLevel="0" collapsed="false">
      <c r="A267" s="69" t="s">
        <v>1052</v>
      </c>
      <c r="B267" s="13" t="s">
        <v>35</v>
      </c>
      <c r="C267" s="30" t="s">
        <v>1155</v>
      </c>
      <c r="D267" s="31" t="s">
        <v>1082</v>
      </c>
      <c r="E267" s="31" t="s">
        <v>98</v>
      </c>
      <c r="F267" s="31" t="s">
        <v>1106</v>
      </c>
      <c r="G267" s="31" t="s">
        <v>1107</v>
      </c>
      <c r="H267" s="31" t="s">
        <v>1062</v>
      </c>
      <c r="I267" s="33" t="s">
        <v>302</v>
      </c>
      <c r="J267" s="70"/>
      <c r="K267" s="70"/>
    </row>
    <row r="268" customFormat="false" ht="23.25" hidden="false" customHeight="true" outlineLevel="0" collapsed="false">
      <c r="A268" s="69" t="s">
        <v>1052</v>
      </c>
      <c r="B268" s="13" t="s">
        <v>35</v>
      </c>
      <c r="C268" s="30" t="s">
        <v>1156</v>
      </c>
      <c r="D268" s="31" t="s">
        <v>1082</v>
      </c>
      <c r="E268" s="31" t="s">
        <v>98</v>
      </c>
      <c r="F268" s="31" t="s">
        <v>1106</v>
      </c>
      <c r="G268" s="31" t="s">
        <v>1107</v>
      </c>
      <c r="H268" s="31" t="s">
        <v>1062</v>
      </c>
      <c r="I268" s="33" t="s">
        <v>261</v>
      </c>
      <c r="J268" s="70"/>
      <c r="K268" s="70"/>
    </row>
    <row r="269" customFormat="false" ht="23.25" hidden="false" customHeight="true" outlineLevel="0" collapsed="false">
      <c r="A269" s="69" t="s">
        <v>1052</v>
      </c>
      <c r="B269" s="13" t="s">
        <v>35</v>
      </c>
      <c r="C269" s="30" t="s">
        <v>1157</v>
      </c>
      <c r="D269" s="31" t="s">
        <v>1082</v>
      </c>
      <c r="E269" s="31" t="s">
        <v>98</v>
      </c>
      <c r="F269" s="31" t="s">
        <v>1106</v>
      </c>
      <c r="G269" s="31" t="s">
        <v>1107</v>
      </c>
      <c r="H269" s="31" t="s">
        <v>1062</v>
      </c>
      <c r="I269" s="33" t="s">
        <v>340</v>
      </c>
      <c r="J269" s="70"/>
      <c r="K269" s="70"/>
    </row>
    <row r="270" customFormat="false" ht="23.25" hidden="false" customHeight="true" outlineLevel="0" collapsed="false">
      <c r="A270" s="69" t="s">
        <v>1052</v>
      </c>
      <c r="B270" s="13" t="s">
        <v>35</v>
      </c>
      <c r="C270" s="30" t="s">
        <v>1158</v>
      </c>
      <c r="D270" s="31" t="s">
        <v>1082</v>
      </c>
      <c r="E270" s="31" t="s">
        <v>98</v>
      </c>
      <c r="F270" s="31" t="s">
        <v>1106</v>
      </c>
      <c r="G270" s="31" t="s">
        <v>1107</v>
      </c>
      <c r="H270" s="31" t="s">
        <v>1062</v>
      </c>
      <c r="I270" s="33" t="s">
        <v>287</v>
      </c>
      <c r="J270" s="70"/>
      <c r="K270" s="70"/>
    </row>
    <row r="271" customFormat="false" ht="23.25" hidden="false" customHeight="true" outlineLevel="0" collapsed="false">
      <c r="A271" s="69" t="s">
        <v>1052</v>
      </c>
      <c r="B271" s="13" t="s">
        <v>35</v>
      </c>
      <c r="C271" s="30" t="s">
        <v>1159</v>
      </c>
      <c r="D271" s="31" t="s">
        <v>1082</v>
      </c>
      <c r="E271" s="31" t="s">
        <v>98</v>
      </c>
      <c r="F271" s="31" t="s">
        <v>1106</v>
      </c>
      <c r="G271" s="31" t="s">
        <v>1107</v>
      </c>
      <c r="H271" s="31" t="s">
        <v>1062</v>
      </c>
      <c r="I271" s="33" t="s">
        <v>1160</v>
      </c>
      <c r="J271" s="70"/>
      <c r="K271" s="70"/>
    </row>
    <row r="272" customFormat="false" ht="23.25" hidden="false" customHeight="true" outlineLevel="0" collapsed="false">
      <c r="A272" s="69" t="s">
        <v>1052</v>
      </c>
      <c r="B272" s="13" t="s">
        <v>35</v>
      </c>
      <c r="C272" s="30" t="s">
        <v>1161</v>
      </c>
      <c r="D272" s="31" t="s">
        <v>1082</v>
      </c>
      <c r="E272" s="31" t="s">
        <v>98</v>
      </c>
      <c r="F272" s="31" t="s">
        <v>1106</v>
      </c>
      <c r="G272" s="31" t="s">
        <v>1107</v>
      </c>
      <c r="H272" s="31" t="s">
        <v>1062</v>
      </c>
      <c r="I272" s="33" t="s">
        <v>1162</v>
      </c>
      <c r="J272" s="70"/>
      <c r="K272" s="70"/>
    </row>
    <row r="273" customFormat="false" ht="23.25" hidden="false" customHeight="true" outlineLevel="0" collapsed="false">
      <c r="A273" s="69" t="s">
        <v>1052</v>
      </c>
      <c r="B273" s="13" t="s">
        <v>35</v>
      </c>
      <c r="C273" s="30" t="s">
        <v>1163</v>
      </c>
      <c r="D273" s="31" t="s">
        <v>1082</v>
      </c>
      <c r="E273" s="31" t="s">
        <v>98</v>
      </c>
      <c r="F273" s="31" t="s">
        <v>1106</v>
      </c>
      <c r="G273" s="31" t="s">
        <v>1107</v>
      </c>
      <c r="H273" s="31" t="s">
        <v>1062</v>
      </c>
      <c r="I273" s="33" t="s">
        <v>1164</v>
      </c>
      <c r="J273" s="70"/>
      <c r="K273" s="70"/>
    </row>
    <row r="274" customFormat="false" ht="23.25" hidden="false" customHeight="true" outlineLevel="0" collapsed="false">
      <c r="A274" s="69" t="s">
        <v>1052</v>
      </c>
      <c r="B274" s="13" t="s">
        <v>35</v>
      </c>
      <c r="C274" s="30" t="s">
        <v>1165</v>
      </c>
      <c r="D274" s="31" t="s">
        <v>1082</v>
      </c>
      <c r="E274" s="31" t="s">
        <v>98</v>
      </c>
      <c r="F274" s="31" t="s">
        <v>1106</v>
      </c>
      <c r="G274" s="31" t="s">
        <v>1107</v>
      </c>
      <c r="H274" s="31" t="s">
        <v>1062</v>
      </c>
      <c r="I274" s="33" t="s">
        <v>263</v>
      </c>
      <c r="J274" s="70"/>
      <c r="K274" s="70"/>
    </row>
    <row r="275" customFormat="false" ht="23.25" hidden="false" customHeight="true" outlineLevel="0" collapsed="false">
      <c r="A275" s="69" t="s">
        <v>1052</v>
      </c>
      <c r="B275" s="13" t="s">
        <v>35</v>
      </c>
      <c r="C275" s="30" t="s">
        <v>1166</v>
      </c>
      <c r="D275" s="31" t="s">
        <v>1082</v>
      </c>
      <c r="E275" s="31" t="s">
        <v>98</v>
      </c>
      <c r="F275" s="31" t="s">
        <v>1106</v>
      </c>
      <c r="G275" s="31" t="s">
        <v>1107</v>
      </c>
      <c r="H275" s="31" t="s">
        <v>1062</v>
      </c>
      <c r="I275" s="33" t="s">
        <v>265</v>
      </c>
      <c r="J275" s="70"/>
      <c r="K275" s="70"/>
    </row>
    <row r="276" customFormat="false" ht="23.25" hidden="false" customHeight="true" outlineLevel="0" collapsed="false">
      <c r="A276" s="69" t="s">
        <v>1052</v>
      </c>
      <c r="B276" s="13" t="s">
        <v>35</v>
      </c>
      <c r="C276" s="30" t="s">
        <v>1167</v>
      </c>
      <c r="D276" s="31" t="s">
        <v>1082</v>
      </c>
      <c r="E276" s="31" t="s">
        <v>98</v>
      </c>
      <c r="F276" s="31" t="s">
        <v>1106</v>
      </c>
      <c r="G276" s="31" t="s">
        <v>1107</v>
      </c>
      <c r="H276" s="31" t="s">
        <v>1062</v>
      </c>
      <c r="I276" s="33" t="s">
        <v>267</v>
      </c>
      <c r="J276" s="70"/>
      <c r="K276" s="70"/>
    </row>
    <row r="277" customFormat="false" ht="23.25" hidden="false" customHeight="true" outlineLevel="0" collapsed="false">
      <c r="A277" s="69" t="s">
        <v>1052</v>
      </c>
      <c r="B277" s="13" t="s">
        <v>35</v>
      </c>
      <c r="C277" s="30" t="s">
        <v>1168</v>
      </c>
      <c r="D277" s="31" t="s">
        <v>1082</v>
      </c>
      <c r="E277" s="31" t="s">
        <v>98</v>
      </c>
      <c r="F277" s="31" t="s">
        <v>1106</v>
      </c>
      <c r="G277" s="31" t="s">
        <v>1107</v>
      </c>
      <c r="H277" s="31" t="s">
        <v>1062</v>
      </c>
      <c r="I277" s="33" t="s">
        <v>269</v>
      </c>
      <c r="J277" s="70"/>
      <c r="K277" s="70"/>
    </row>
    <row r="278" customFormat="false" ht="23.25" hidden="false" customHeight="true" outlineLevel="0" collapsed="false">
      <c r="A278" s="69" t="s">
        <v>1052</v>
      </c>
      <c r="B278" s="13" t="s">
        <v>35</v>
      </c>
      <c r="C278" s="30" t="s">
        <v>1169</v>
      </c>
      <c r="D278" s="31" t="s">
        <v>1082</v>
      </c>
      <c r="E278" s="31" t="s">
        <v>98</v>
      </c>
      <c r="F278" s="31" t="s">
        <v>1106</v>
      </c>
      <c r="G278" s="31" t="s">
        <v>1107</v>
      </c>
      <c r="H278" s="31" t="s">
        <v>1062</v>
      </c>
      <c r="I278" s="33" t="s">
        <v>271</v>
      </c>
      <c r="J278" s="70"/>
      <c r="K278" s="70"/>
    </row>
    <row r="279" customFormat="false" ht="23.25" hidden="false" customHeight="true" outlineLevel="0" collapsed="false">
      <c r="A279" s="69" t="s">
        <v>1052</v>
      </c>
      <c r="B279" s="13" t="s">
        <v>35</v>
      </c>
      <c r="C279" s="30" t="s">
        <v>1170</v>
      </c>
      <c r="D279" s="31" t="s">
        <v>1082</v>
      </c>
      <c r="E279" s="31" t="s">
        <v>98</v>
      </c>
      <c r="F279" s="31" t="s">
        <v>1106</v>
      </c>
      <c r="G279" s="31" t="s">
        <v>1107</v>
      </c>
      <c r="H279" s="31" t="s">
        <v>1062</v>
      </c>
      <c r="I279" s="33" t="s">
        <v>1069</v>
      </c>
      <c r="J279" s="70"/>
      <c r="K279" s="70"/>
    </row>
    <row r="280" customFormat="false" ht="23.25" hidden="false" customHeight="true" outlineLevel="0" collapsed="false">
      <c r="A280" s="69" t="s">
        <v>1052</v>
      </c>
      <c r="B280" s="13" t="s">
        <v>35</v>
      </c>
      <c r="C280" s="30" t="s">
        <v>1171</v>
      </c>
      <c r="D280" s="31" t="s">
        <v>1082</v>
      </c>
      <c r="E280" s="31" t="s">
        <v>98</v>
      </c>
      <c r="F280" s="31" t="s">
        <v>1106</v>
      </c>
      <c r="G280" s="31" t="s">
        <v>1107</v>
      </c>
      <c r="H280" s="31" t="s">
        <v>1062</v>
      </c>
      <c r="I280" s="33" t="s">
        <v>1072</v>
      </c>
      <c r="J280" s="70"/>
      <c r="K280" s="70"/>
    </row>
    <row r="281" customFormat="false" ht="23.25" hidden="false" customHeight="true" outlineLevel="0" collapsed="false">
      <c r="A281" s="69" t="s">
        <v>1052</v>
      </c>
      <c r="B281" s="13" t="s">
        <v>35</v>
      </c>
      <c r="C281" s="30" t="s">
        <v>1172</v>
      </c>
      <c r="D281" s="31" t="s">
        <v>1082</v>
      </c>
      <c r="E281" s="31" t="s">
        <v>98</v>
      </c>
      <c r="F281" s="31" t="s">
        <v>1106</v>
      </c>
      <c r="G281" s="31" t="s">
        <v>1107</v>
      </c>
      <c r="H281" s="31" t="s">
        <v>1062</v>
      </c>
      <c r="I281" s="33" t="s">
        <v>1104</v>
      </c>
      <c r="J281" s="70"/>
      <c r="K281" s="70"/>
    </row>
    <row r="282" customFormat="false" ht="23.25" hidden="false" customHeight="true" outlineLevel="0" collapsed="false">
      <c r="A282" s="69" t="s">
        <v>1052</v>
      </c>
      <c r="B282" s="13" t="s">
        <v>35</v>
      </c>
      <c r="C282" s="30" t="s">
        <v>1173</v>
      </c>
      <c r="D282" s="31" t="s">
        <v>1082</v>
      </c>
      <c r="E282" s="31" t="s">
        <v>98</v>
      </c>
      <c r="F282" s="31" t="s">
        <v>1106</v>
      </c>
      <c r="G282" s="31" t="s">
        <v>1107</v>
      </c>
      <c r="H282" s="31" t="s">
        <v>1062</v>
      </c>
      <c r="I282" s="33" t="s">
        <v>1057</v>
      </c>
      <c r="J282" s="70"/>
      <c r="K282" s="70"/>
    </row>
    <row r="283" customFormat="false" ht="23.25" hidden="false" customHeight="true" outlineLevel="0" collapsed="false">
      <c r="A283" s="69" t="s">
        <v>1052</v>
      </c>
      <c r="B283" s="13" t="s">
        <v>35</v>
      </c>
      <c r="C283" s="30" t="s">
        <v>1174</v>
      </c>
      <c r="D283" s="31" t="s">
        <v>1082</v>
      </c>
      <c r="E283" s="31" t="s">
        <v>98</v>
      </c>
      <c r="F283" s="31" t="s">
        <v>1106</v>
      </c>
      <c r="G283" s="31" t="s">
        <v>1107</v>
      </c>
      <c r="H283" s="31" t="s">
        <v>1062</v>
      </c>
      <c r="I283" s="33" t="s">
        <v>1175</v>
      </c>
      <c r="J283" s="70"/>
      <c r="K283" s="70"/>
    </row>
    <row r="284" customFormat="false" ht="23.25" hidden="false" customHeight="true" outlineLevel="0" collapsed="false">
      <c r="A284" s="69" t="s">
        <v>1052</v>
      </c>
      <c r="B284" s="13" t="s">
        <v>35</v>
      </c>
      <c r="C284" s="30" t="s">
        <v>1176</v>
      </c>
      <c r="D284" s="31" t="s">
        <v>1082</v>
      </c>
      <c r="E284" s="31" t="s">
        <v>98</v>
      </c>
      <c r="F284" s="31" t="s">
        <v>1106</v>
      </c>
      <c r="G284" s="31" t="s">
        <v>1107</v>
      </c>
      <c r="H284" s="31" t="s">
        <v>1062</v>
      </c>
      <c r="I284" s="33" t="s">
        <v>1177</v>
      </c>
      <c r="J284" s="70"/>
      <c r="K284" s="70"/>
    </row>
    <row r="285" customFormat="false" ht="23.25" hidden="false" customHeight="true" outlineLevel="0" collapsed="false">
      <c r="A285" s="69" t="s">
        <v>1052</v>
      </c>
      <c r="B285" s="13" t="s">
        <v>35</v>
      </c>
      <c r="C285" s="30" t="s">
        <v>1178</v>
      </c>
      <c r="D285" s="31" t="s">
        <v>1082</v>
      </c>
      <c r="E285" s="31" t="s">
        <v>98</v>
      </c>
      <c r="F285" s="31" t="s">
        <v>1106</v>
      </c>
      <c r="G285" s="31" t="s">
        <v>1107</v>
      </c>
      <c r="H285" s="31" t="s">
        <v>1062</v>
      </c>
      <c r="I285" s="33" t="s">
        <v>1179</v>
      </c>
      <c r="J285" s="70"/>
      <c r="K285" s="70"/>
    </row>
    <row r="286" customFormat="false" ht="23.25" hidden="false" customHeight="true" outlineLevel="0" collapsed="false">
      <c r="A286" s="69" t="s">
        <v>1052</v>
      </c>
      <c r="B286" s="13" t="s">
        <v>35</v>
      </c>
      <c r="C286" s="30" t="s">
        <v>1180</v>
      </c>
      <c r="D286" s="31" t="s">
        <v>1082</v>
      </c>
      <c r="E286" s="31" t="s">
        <v>98</v>
      </c>
      <c r="F286" s="31" t="s">
        <v>1106</v>
      </c>
      <c r="G286" s="31" t="s">
        <v>1107</v>
      </c>
      <c r="H286" s="31" t="s">
        <v>1062</v>
      </c>
      <c r="I286" s="33" t="s">
        <v>345</v>
      </c>
      <c r="J286" s="70"/>
      <c r="K286" s="70"/>
    </row>
    <row r="287" customFormat="false" ht="23.25" hidden="false" customHeight="true" outlineLevel="0" collapsed="false">
      <c r="A287" s="69" t="s">
        <v>1052</v>
      </c>
      <c r="B287" s="13" t="s">
        <v>35</v>
      </c>
      <c r="C287" s="30" t="s">
        <v>1181</v>
      </c>
      <c r="D287" s="31" t="s">
        <v>1082</v>
      </c>
      <c r="E287" s="31" t="s">
        <v>98</v>
      </c>
      <c r="F287" s="31" t="s">
        <v>1106</v>
      </c>
      <c r="G287" s="31" t="s">
        <v>1107</v>
      </c>
      <c r="H287" s="31" t="s">
        <v>1062</v>
      </c>
      <c r="I287" s="33" t="s">
        <v>163</v>
      </c>
      <c r="J287" s="70"/>
      <c r="K287" s="70"/>
    </row>
    <row r="288" customFormat="false" ht="23.25" hidden="false" customHeight="true" outlineLevel="0" collapsed="false">
      <c r="A288" s="69" t="s">
        <v>1052</v>
      </c>
      <c r="B288" s="13" t="s">
        <v>35</v>
      </c>
      <c r="C288" s="30" t="s">
        <v>1182</v>
      </c>
      <c r="D288" s="31" t="s">
        <v>1082</v>
      </c>
      <c r="E288" s="31" t="s">
        <v>98</v>
      </c>
      <c r="F288" s="31" t="s">
        <v>1106</v>
      </c>
      <c r="G288" s="31" t="s">
        <v>1107</v>
      </c>
      <c r="H288" s="31" t="s">
        <v>1062</v>
      </c>
      <c r="I288" s="33" t="s">
        <v>172</v>
      </c>
      <c r="J288" s="70"/>
      <c r="K288" s="70"/>
    </row>
    <row r="289" customFormat="false" ht="23.25" hidden="false" customHeight="true" outlineLevel="0" collapsed="false">
      <c r="A289" s="69" t="s">
        <v>1052</v>
      </c>
      <c r="B289" s="13" t="s">
        <v>35</v>
      </c>
      <c r="C289" s="30" t="s">
        <v>1183</v>
      </c>
      <c r="D289" s="31" t="s">
        <v>1082</v>
      </c>
      <c r="E289" s="31" t="s">
        <v>98</v>
      </c>
      <c r="F289" s="31" t="s">
        <v>1106</v>
      </c>
      <c r="G289" s="31" t="s">
        <v>1107</v>
      </c>
      <c r="H289" s="31" t="s">
        <v>1062</v>
      </c>
      <c r="I289" s="33" t="s">
        <v>349</v>
      </c>
      <c r="J289" s="70"/>
      <c r="K289" s="70"/>
    </row>
    <row r="290" customFormat="false" ht="23.25" hidden="false" customHeight="true" outlineLevel="0" collapsed="false">
      <c r="A290" s="69" t="s">
        <v>1052</v>
      </c>
      <c r="B290" s="13" t="s">
        <v>35</v>
      </c>
      <c r="C290" s="30" t="s">
        <v>1184</v>
      </c>
      <c r="D290" s="31" t="s">
        <v>1082</v>
      </c>
      <c r="E290" s="31" t="s">
        <v>98</v>
      </c>
      <c r="F290" s="31" t="s">
        <v>1106</v>
      </c>
      <c r="G290" s="31" t="s">
        <v>1107</v>
      </c>
      <c r="H290" s="31" t="s">
        <v>1062</v>
      </c>
      <c r="I290" s="33" t="s">
        <v>190</v>
      </c>
      <c r="J290" s="70"/>
      <c r="K290" s="70"/>
    </row>
    <row r="291" customFormat="false" ht="23.25" hidden="false" customHeight="true" outlineLevel="0" collapsed="false">
      <c r="A291" s="69" t="s">
        <v>1052</v>
      </c>
      <c r="B291" s="13" t="s">
        <v>35</v>
      </c>
      <c r="C291" s="30" t="s">
        <v>1185</v>
      </c>
      <c r="D291" s="31" t="s">
        <v>1082</v>
      </c>
      <c r="E291" s="31" t="s">
        <v>98</v>
      </c>
      <c r="F291" s="31" t="s">
        <v>1106</v>
      </c>
      <c r="G291" s="31" t="s">
        <v>1107</v>
      </c>
      <c r="H291" s="31" t="s">
        <v>1062</v>
      </c>
      <c r="I291" s="33" t="s">
        <v>192</v>
      </c>
      <c r="J291" s="70"/>
      <c r="K291" s="70"/>
    </row>
    <row r="292" customFormat="false" ht="23.25" hidden="false" customHeight="true" outlineLevel="0" collapsed="false">
      <c r="A292" s="69" t="s">
        <v>1052</v>
      </c>
      <c r="B292" s="13" t="s">
        <v>35</v>
      </c>
      <c r="C292" s="30" t="s">
        <v>1186</v>
      </c>
      <c r="D292" s="31" t="s">
        <v>1082</v>
      </c>
      <c r="E292" s="31" t="s">
        <v>98</v>
      </c>
      <c r="F292" s="31" t="s">
        <v>1106</v>
      </c>
      <c r="G292" s="31" t="s">
        <v>1107</v>
      </c>
      <c r="H292" s="31" t="s">
        <v>1062</v>
      </c>
      <c r="I292" s="33" t="s">
        <v>1187</v>
      </c>
      <c r="J292" s="70"/>
      <c r="K292" s="70"/>
    </row>
    <row r="293" customFormat="false" ht="23.25" hidden="false" customHeight="true" outlineLevel="0" collapsed="false">
      <c r="A293" s="69" t="s">
        <v>1052</v>
      </c>
      <c r="B293" s="13" t="s">
        <v>35</v>
      </c>
      <c r="C293" s="30" t="s">
        <v>1188</v>
      </c>
      <c r="D293" s="31" t="s">
        <v>1189</v>
      </c>
      <c r="E293" s="31" t="s">
        <v>98</v>
      </c>
      <c r="F293" s="31" t="s">
        <v>1106</v>
      </c>
      <c r="G293" s="31" t="s">
        <v>1107</v>
      </c>
      <c r="H293" s="31" t="s">
        <v>1062</v>
      </c>
      <c r="I293" s="33" t="s">
        <v>219</v>
      </c>
      <c r="J293" s="70"/>
      <c r="K293" s="70"/>
    </row>
    <row r="294" customFormat="false" ht="23.25" hidden="false" customHeight="true" outlineLevel="0" collapsed="false">
      <c r="A294" s="69" t="s">
        <v>1052</v>
      </c>
      <c r="B294" s="13" t="s">
        <v>35</v>
      </c>
      <c r="C294" s="30" t="s">
        <v>1190</v>
      </c>
      <c r="D294" s="31" t="s">
        <v>1189</v>
      </c>
      <c r="E294" s="31" t="s">
        <v>98</v>
      </c>
      <c r="F294" s="31" t="s">
        <v>1106</v>
      </c>
      <c r="G294" s="31" t="s">
        <v>1107</v>
      </c>
      <c r="H294" s="31" t="s">
        <v>1062</v>
      </c>
      <c r="I294" s="33" t="s">
        <v>116</v>
      </c>
      <c r="J294" s="70"/>
      <c r="K294" s="70"/>
    </row>
    <row r="295" customFormat="false" ht="23.25" hidden="false" customHeight="true" outlineLevel="0" collapsed="false">
      <c r="A295" s="69" t="s">
        <v>1052</v>
      </c>
      <c r="B295" s="13" t="s">
        <v>35</v>
      </c>
      <c r="C295" s="30" t="s">
        <v>1191</v>
      </c>
      <c r="D295" s="31" t="s">
        <v>1189</v>
      </c>
      <c r="E295" s="31" t="s">
        <v>98</v>
      </c>
      <c r="F295" s="31" t="s">
        <v>1106</v>
      </c>
      <c r="G295" s="31" t="s">
        <v>1107</v>
      </c>
      <c r="H295" s="31" t="s">
        <v>1062</v>
      </c>
      <c r="I295" s="33" t="s">
        <v>132</v>
      </c>
      <c r="J295" s="70"/>
      <c r="K295" s="70"/>
    </row>
    <row r="296" customFormat="false" ht="23.25" hidden="false" customHeight="true" outlineLevel="0" collapsed="false">
      <c r="A296" s="69" t="s">
        <v>1052</v>
      </c>
      <c r="B296" s="13" t="s">
        <v>35</v>
      </c>
      <c r="C296" s="30" t="s">
        <v>1192</v>
      </c>
      <c r="D296" s="31" t="s">
        <v>1189</v>
      </c>
      <c r="E296" s="31" t="s">
        <v>98</v>
      </c>
      <c r="F296" s="31" t="s">
        <v>1106</v>
      </c>
      <c r="G296" s="31" t="s">
        <v>1107</v>
      </c>
      <c r="H296" s="31" t="s">
        <v>1062</v>
      </c>
      <c r="I296" s="33" t="s">
        <v>1193</v>
      </c>
      <c r="J296" s="70"/>
      <c r="K296" s="70"/>
    </row>
    <row r="297" customFormat="false" ht="23.25" hidden="false" customHeight="true" outlineLevel="0" collapsed="false">
      <c r="A297" s="69" t="s">
        <v>1052</v>
      </c>
      <c r="B297" s="13" t="s">
        <v>35</v>
      </c>
      <c r="C297" s="30" t="s">
        <v>1194</v>
      </c>
      <c r="D297" s="31" t="s">
        <v>1189</v>
      </c>
      <c r="E297" s="31" t="s">
        <v>98</v>
      </c>
      <c r="F297" s="31" t="s">
        <v>1106</v>
      </c>
      <c r="G297" s="31" t="s">
        <v>1107</v>
      </c>
      <c r="H297" s="31" t="s">
        <v>1062</v>
      </c>
      <c r="I297" s="33" t="s">
        <v>149</v>
      </c>
      <c r="J297" s="70"/>
      <c r="K297" s="70"/>
    </row>
    <row r="298" customFormat="false" ht="23.25" hidden="false" customHeight="true" outlineLevel="0" collapsed="false">
      <c r="A298" s="69" t="s">
        <v>1052</v>
      </c>
      <c r="B298" s="13" t="s">
        <v>35</v>
      </c>
      <c r="C298" s="30" t="s">
        <v>1195</v>
      </c>
      <c r="D298" s="31" t="s">
        <v>1189</v>
      </c>
      <c r="E298" s="31" t="s">
        <v>98</v>
      </c>
      <c r="F298" s="31" t="s">
        <v>1106</v>
      </c>
      <c r="G298" s="31" t="s">
        <v>1107</v>
      </c>
      <c r="H298" s="31" t="s">
        <v>1062</v>
      </c>
      <c r="I298" s="33" t="s">
        <v>143</v>
      </c>
      <c r="J298" s="70"/>
      <c r="K298" s="70"/>
    </row>
    <row r="299" customFormat="false" ht="23.25" hidden="false" customHeight="true" outlineLevel="0" collapsed="false">
      <c r="A299" s="69" t="s">
        <v>1052</v>
      </c>
      <c r="B299" s="13" t="s">
        <v>35</v>
      </c>
      <c r="C299" s="30" t="s">
        <v>1196</v>
      </c>
      <c r="D299" s="31" t="s">
        <v>1189</v>
      </c>
      <c r="E299" s="31" t="s">
        <v>98</v>
      </c>
      <c r="F299" s="31" t="s">
        <v>1106</v>
      </c>
      <c r="G299" s="31" t="s">
        <v>1107</v>
      </c>
      <c r="H299" s="31" t="s">
        <v>1062</v>
      </c>
      <c r="I299" s="33" t="s">
        <v>279</v>
      </c>
      <c r="J299" s="70"/>
      <c r="K299" s="70"/>
    </row>
    <row r="300" customFormat="false" ht="23.25" hidden="false" customHeight="true" outlineLevel="0" collapsed="false">
      <c r="A300" s="69" t="s">
        <v>1052</v>
      </c>
      <c r="B300" s="13" t="s">
        <v>35</v>
      </c>
      <c r="C300" s="30" t="s">
        <v>1197</v>
      </c>
      <c r="D300" s="31" t="s">
        <v>1189</v>
      </c>
      <c r="E300" s="31" t="s">
        <v>98</v>
      </c>
      <c r="F300" s="31" t="s">
        <v>1106</v>
      </c>
      <c r="G300" s="31" t="s">
        <v>1107</v>
      </c>
      <c r="H300" s="31" t="s">
        <v>1062</v>
      </c>
      <c r="I300" s="33" t="s">
        <v>247</v>
      </c>
      <c r="J300" s="70"/>
      <c r="K300" s="70"/>
    </row>
    <row r="301" customFormat="false" ht="23.25" hidden="false" customHeight="true" outlineLevel="0" collapsed="false">
      <c r="A301" s="69" t="s">
        <v>1052</v>
      </c>
      <c r="B301" s="13" t="s">
        <v>35</v>
      </c>
      <c r="C301" s="30" t="s">
        <v>1198</v>
      </c>
      <c r="D301" s="31" t="s">
        <v>1189</v>
      </c>
      <c r="E301" s="31" t="s">
        <v>98</v>
      </c>
      <c r="F301" s="31" t="s">
        <v>1106</v>
      </c>
      <c r="G301" s="31" t="s">
        <v>1107</v>
      </c>
      <c r="H301" s="31" t="s">
        <v>1062</v>
      </c>
      <c r="I301" s="33" t="s">
        <v>1199</v>
      </c>
      <c r="J301" s="70"/>
      <c r="K301" s="70"/>
    </row>
    <row r="302" customFormat="false" ht="23.25" hidden="false" customHeight="true" outlineLevel="0" collapsed="false">
      <c r="A302" s="69" t="s">
        <v>1052</v>
      </c>
      <c r="B302" s="13" t="s">
        <v>35</v>
      </c>
      <c r="C302" s="30" t="s">
        <v>1200</v>
      </c>
      <c r="D302" s="31" t="s">
        <v>1189</v>
      </c>
      <c r="E302" s="31" t="s">
        <v>98</v>
      </c>
      <c r="F302" s="31" t="s">
        <v>1106</v>
      </c>
      <c r="G302" s="31" t="s">
        <v>1107</v>
      </c>
      <c r="H302" s="31" t="s">
        <v>1062</v>
      </c>
      <c r="I302" s="33" t="s">
        <v>744</v>
      </c>
      <c r="J302" s="70"/>
      <c r="K302" s="70"/>
    </row>
    <row r="303" customFormat="false" ht="23.25" hidden="false" customHeight="true" outlineLevel="0" collapsed="false">
      <c r="A303" s="69" t="s">
        <v>1052</v>
      </c>
      <c r="B303" s="13" t="s">
        <v>35</v>
      </c>
      <c r="C303" s="30" t="s">
        <v>1201</v>
      </c>
      <c r="D303" s="31" t="s">
        <v>1189</v>
      </c>
      <c r="E303" s="31" t="s">
        <v>98</v>
      </c>
      <c r="F303" s="31" t="s">
        <v>1106</v>
      </c>
      <c r="G303" s="31" t="s">
        <v>1107</v>
      </c>
      <c r="H303" s="31" t="s">
        <v>1062</v>
      </c>
      <c r="I303" s="33" t="s">
        <v>753</v>
      </c>
      <c r="J303" s="70"/>
      <c r="K303" s="70"/>
    </row>
    <row r="304" customFormat="false" ht="23.25" hidden="false" customHeight="true" outlineLevel="0" collapsed="false">
      <c r="A304" s="69" t="s">
        <v>1052</v>
      </c>
      <c r="B304" s="13" t="s">
        <v>35</v>
      </c>
      <c r="C304" s="30" t="s">
        <v>1202</v>
      </c>
      <c r="D304" s="31" t="s">
        <v>1189</v>
      </c>
      <c r="E304" s="31" t="s">
        <v>98</v>
      </c>
      <c r="F304" s="31" t="s">
        <v>1106</v>
      </c>
      <c r="G304" s="31" t="s">
        <v>1107</v>
      </c>
      <c r="H304" s="31" t="s">
        <v>1062</v>
      </c>
      <c r="I304" s="33" t="s">
        <v>739</v>
      </c>
      <c r="J304" s="70"/>
      <c r="K304" s="70"/>
    </row>
    <row r="305" customFormat="false" ht="23.25" hidden="false" customHeight="true" outlineLevel="0" collapsed="false">
      <c r="A305" s="69" t="s">
        <v>1052</v>
      </c>
      <c r="B305" s="13" t="s">
        <v>35</v>
      </c>
      <c r="C305" s="30" t="s">
        <v>1203</v>
      </c>
      <c r="D305" s="31" t="s">
        <v>1189</v>
      </c>
      <c r="E305" s="31" t="s">
        <v>98</v>
      </c>
      <c r="F305" s="31" t="s">
        <v>1106</v>
      </c>
      <c r="G305" s="31" t="s">
        <v>1107</v>
      </c>
      <c r="H305" s="31" t="s">
        <v>1062</v>
      </c>
      <c r="I305" s="33" t="s">
        <v>1204</v>
      </c>
      <c r="J305" s="70"/>
      <c r="K305" s="70"/>
    </row>
    <row r="306" customFormat="false" ht="23.25" hidden="false" customHeight="true" outlineLevel="0" collapsed="false">
      <c r="A306" s="69" t="s">
        <v>1052</v>
      </c>
      <c r="B306" s="13" t="s">
        <v>35</v>
      </c>
      <c r="C306" s="30" t="s">
        <v>1205</v>
      </c>
      <c r="D306" s="31" t="s">
        <v>1189</v>
      </c>
      <c r="E306" s="31" t="s">
        <v>98</v>
      </c>
      <c r="F306" s="31" t="s">
        <v>1106</v>
      </c>
      <c r="G306" s="31" t="s">
        <v>1107</v>
      </c>
      <c r="H306" s="31" t="s">
        <v>1062</v>
      </c>
      <c r="I306" s="33" t="s">
        <v>1206</v>
      </c>
      <c r="J306" s="70"/>
      <c r="K306" s="70"/>
    </row>
    <row r="307" customFormat="false" ht="23.25" hidden="false" customHeight="true" outlineLevel="0" collapsed="false">
      <c r="A307" s="69" t="s">
        <v>1052</v>
      </c>
      <c r="B307" s="13" t="s">
        <v>35</v>
      </c>
      <c r="C307" s="30" t="s">
        <v>1207</v>
      </c>
      <c r="D307" s="31" t="s">
        <v>1189</v>
      </c>
      <c r="E307" s="31" t="s">
        <v>98</v>
      </c>
      <c r="F307" s="31" t="s">
        <v>1106</v>
      </c>
      <c r="G307" s="31" t="s">
        <v>1107</v>
      </c>
      <c r="H307" s="31" t="s">
        <v>1062</v>
      </c>
      <c r="I307" s="33" t="s">
        <v>345</v>
      </c>
      <c r="J307" s="70"/>
      <c r="K307" s="70"/>
    </row>
    <row r="308" customFormat="false" ht="23.25" hidden="false" customHeight="true" outlineLevel="0" collapsed="false">
      <c r="A308" s="69" t="s">
        <v>1052</v>
      </c>
      <c r="B308" s="13" t="s">
        <v>35</v>
      </c>
      <c r="C308" s="30" t="s">
        <v>1208</v>
      </c>
      <c r="D308" s="31" t="s">
        <v>1189</v>
      </c>
      <c r="E308" s="31" t="s">
        <v>98</v>
      </c>
      <c r="F308" s="31" t="s">
        <v>1106</v>
      </c>
      <c r="G308" s="31" t="s">
        <v>1107</v>
      </c>
      <c r="H308" s="31" t="s">
        <v>1062</v>
      </c>
      <c r="I308" s="33" t="s">
        <v>163</v>
      </c>
      <c r="J308" s="70"/>
      <c r="K308" s="70"/>
    </row>
    <row r="309" customFormat="false" ht="23.25" hidden="false" customHeight="true" outlineLevel="0" collapsed="false">
      <c r="A309" s="69" t="s">
        <v>1052</v>
      </c>
      <c r="B309" s="13" t="s">
        <v>35</v>
      </c>
      <c r="C309" s="30" t="s">
        <v>1209</v>
      </c>
      <c r="D309" s="31" t="s">
        <v>1189</v>
      </c>
      <c r="E309" s="31" t="s">
        <v>98</v>
      </c>
      <c r="F309" s="31" t="s">
        <v>1106</v>
      </c>
      <c r="G309" s="31" t="s">
        <v>1107</v>
      </c>
      <c r="H309" s="31" t="s">
        <v>1062</v>
      </c>
      <c r="I309" s="33" t="s">
        <v>172</v>
      </c>
      <c r="J309" s="70"/>
      <c r="K309" s="70"/>
    </row>
    <row r="310" customFormat="false" ht="23.25" hidden="false" customHeight="true" outlineLevel="0" collapsed="false">
      <c r="A310" s="69" t="s">
        <v>1052</v>
      </c>
      <c r="B310" s="13" t="s">
        <v>35</v>
      </c>
      <c r="C310" s="30" t="s">
        <v>1210</v>
      </c>
      <c r="D310" s="31" t="s">
        <v>1189</v>
      </c>
      <c r="E310" s="31" t="s">
        <v>98</v>
      </c>
      <c r="F310" s="31" t="s">
        <v>1106</v>
      </c>
      <c r="G310" s="31" t="s">
        <v>1107</v>
      </c>
      <c r="H310" s="31" t="s">
        <v>1062</v>
      </c>
      <c r="I310" s="33" t="s">
        <v>349</v>
      </c>
      <c r="J310" s="70"/>
      <c r="K310" s="70"/>
    </row>
    <row r="311" customFormat="false" ht="23.25" hidden="false" customHeight="true" outlineLevel="0" collapsed="false">
      <c r="A311" s="69" t="s">
        <v>1052</v>
      </c>
      <c r="B311" s="13" t="s">
        <v>35</v>
      </c>
      <c r="C311" s="30" t="s">
        <v>1211</v>
      </c>
      <c r="D311" s="31" t="s">
        <v>1189</v>
      </c>
      <c r="E311" s="31" t="s">
        <v>98</v>
      </c>
      <c r="F311" s="31" t="s">
        <v>1106</v>
      </c>
      <c r="G311" s="31" t="s">
        <v>1107</v>
      </c>
      <c r="H311" s="31" t="s">
        <v>1062</v>
      </c>
      <c r="I311" s="33" t="s">
        <v>187</v>
      </c>
      <c r="J311" s="70"/>
      <c r="K311" s="70"/>
    </row>
    <row r="312" customFormat="false" ht="23.25" hidden="false" customHeight="true" outlineLevel="0" collapsed="false">
      <c r="A312" s="69" t="s">
        <v>1052</v>
      </c>
      <c r="B312" s="13" t="s">
        <v>35</v>
      </c>
      <c r="C312" s="30" t="s">
        <v>1212</v>
      </c>
      <c r="D312" s="31" t="s">
        <v>1189</v>
      </c>
      <c r="E312" s="31" t="s">
        <v>98</v>
      </c>
      <c r="F312" s="31" t="s">
        <v>1106</v>
      </c>
      <c r="G312" s="31" t="s">
        <v>1107</v>
      </c>
      <c r="H312" s="31" t="s">
        <v>1062</v>
      </c>
      <c r="I312" s="33" t="s">
        <v>190</v>
      </c>
      <c r="J312" s="70"/>
      <c r="K312" s="70"/>
    </row>
    <row r="313" customFormat="false" ht="23.25" hidden="false" customHeight="true" outlineLevel="0" collapsed="false">
      <c r="A313" s="69" t="s">
        <v>1052</v>
      </c>
      <c r="B313" s="13" t="s">
        <v>35</v>
      </c>
      <c r="C313" s="30" t="s">
        <v>1213</v>
      </c>
      <c r="D313" s="31" t="s">
        <v>1189</v>
      </c>
      <c r="E313" s="31" t="s">
        <v>98</v>
      </c>
      <c r="F313" s="31" t="s">
        <v>1106</v>
      </c>
      <c r="G313" s="31" t="s">
        <v>1107</v>
      </c>
      <c r="H313" s="31" t="s">
        <v>1062</v>
      </c>
      <c r="I313" s="33" t="s">
        <v>192</v>
      </c>
      <c r="J313" s="70"/>
      <c r="K313" s="70"/>
    </row>
    <row r="314" customFormat="false" ht="23.25" hidden="false" customHeight="true" outlineLevel="0" collapsed="false">
      <c r="A314" s="69" t="s">
        <v>1052</v>
      </c>
      <c r="B314" s="13" t="s">
        <v>35</v>
      </c>
      <c r="C314" s="30" t="s">
        <v>1214</v>
      </c>
      <c r="D314" s="31" t="s">
        <v>1189</v>
      </c>
      <c r="E314" s="31" t="s">
        <v>98</v>
      </c>
      <c r="F314" s="31" t="s">
        <v>1106</v>
      </c>
      <c r="G314" s="31" t="s">
        <v>1107</v>
      </c>
      <c r="H314" s="31" t="s">
        <v>1062</v>
      </c>
      <c r="I314" s="33" t="s">
        <v>219</v>
      </c>
      <c r="J314" s="70"/>
      <c r="K314" s="70"/>
    </row>
    <row r="315" customFormat="false" ht="23.25" hidden="false" customHeight="true" outlineLevel="0" collapsed="false">
      <c r="A315" s="69" t="s">
        <v>1052</v>
      </c>
      <c r="B315" s="13" t="s">
        <v>35</v>
      </c>
      <c r="C315" s="30" t="s">
        <v>1215</v>
      </c>
      <c r="D315" s="31" t="s">
        <v>1189</v>
      </c>
      <c r="E315" s="31" t="s">
        <v>98</v>
      </c>
      <c r="F315" s="31" t="s">
        <v>1106</v>
      </c>
      <c r="G315" s="31" t="s">
        <v>1107</v>
      </c>
      <c r="H315" s="31" t="s">
        <v>1062</v>
      </c>
      <c r="I315" s="33" t="s">
        <v>116</v>
      </c>
      <c r="J315" s="70"/>
      <c r="K315" s="70"/>
    </row>
    <row r="316" customFormat="false" ht="23.25" hidden="false" customHeight="true" outlineLevel="0" collapsed="false">
      <c r="A316" s="69" t="s">
        <v>1052</v>
      </c>
      <c r="B316" s="13" t="s">
        <v>35</v>
      </c>
      <c r="C316" s="30" t="s">
        <v>1216</v>
      </c>
      <c r="D316" s="31" t="s">
        <v>1189</v>
      </c>
      <c r="E316" s="31" t="s">
        <v>98</v>
      </c>
      <c r="F316" s="31" t="s">
        <v>1106</v>
      </c>
      <c r="G316" s="31" t="s">
        <v>1107</v>
      </c>
      <c r="H316" s="31" t="s">
        <v>1062</v>
      </c>
      <c r="I316" s="33" t="s">
        <v>132</v>
      </c>
      <c r="J316" s="70"/>
      <c r="K316" s="70"/>
    </row>
    <row r="317" customFormat="false" ht="23.25" hidden="false" customHeight="true" outlineLevel="0" collapsed="false">
      <c r="A317" s="69" t="s">
        <v>1052</v>
      </c>
      <c r="B317" s="13" t="s">
        <v>35</v>
      </c>
      <c r="C317" s="30" t="s">
        <v>1217</v>
      </c>
      <c r="D317" s="31" t="s">
        <v>1189</v>
      </c>
      <c r="E317" s="31" t="s">
        <v>98</v>
      </c>
      <c r="F317" s="31" t="s">
        <v>1106</v>
      </c>
      <c r="G317" s="31" t="s">
        <v>1107</v>
      </c>
      <c r="H317" s="31" t="s">
        <v>1062</v>
      </c>
      <c r="I317" s="33" t="s">
        <v>149</v>
      </c>
      <c r="J317" s="70"/>
      <c r="K317" s="70"/>
    </row>
    <row r="318" customFormat="false" ht="23.25" hidden="false" customHeight="true" outlineLevel="0" collapsed="false">
      <c r="A318" s="69" t="s">
        <v>1052</v>
      </c>
      <c r="B318" s="13" t="s">
        <v>35</v>
      </c>
      <c r="C318" s="30" t="s">
        <v>1218</v>
      </c>
      <c r="D318" s="31" t="s">
        <v>1189</v>
      </c>
      <c r="E318" s="31" t="s">
        <v>98</v>
      </c>
      <c r="F318" s="31" t="s">
        <v>1106</v>
      </c>
      <c r="G318" s="31" t="s">
        <v>1107</v>
      </c>
      <c r="H318" s="31" t="s">
        <v>1062</v>
      </c>
      <c r="I318" s="33" t="s">
        <v>143</v>
      </c>
      <c r="J318" s="70"/>
      <c r="K318" s="70"/>
    </row>
    <row r="319" customFormat="false" ht="23.25" hidden="false" customHeight="true" outlineLevel="0" collapsed="false">
      <c r="A319" s="69" t="s">
        <v>1052</v>
      </c>
      <c r="B319" s="13" t="s">
        <v>35</v>
      </c>
      <c r="C319" s="30" t="s">
        <v>1219</v>
      </c>
      <c r="D319" s="31" t="s">
        <v>1189</v>
      </c>
      <c r="E319" s="31" t="s">
        <v>98</v>
      </c>
      <c r="F319" s="31" t="s">
        <v>1106</v>
      </c>
      <c r="G319" s="31" t="s">
        <v>1107</v>
      </c>
      <c r="H319" s="31" t="s">
        <v>1062</v>
      </c>
      <c r="I319" s="33" t="s">
        <v>279</v>
      </c>
      <c r="J319" s="70"/>
      <c r="K319" s="70"/>
    </row>
    <row r="320" customFormat="false" ht="23.25" hidden="false" customHeight="true" outlineLevel="0" collapsed="false">
      <c r="A320" s="69" t="s">
        <v>1052</v>
      </c>
      <c r="B320" s="13" t="s">
        <v>35</v>
      </c>
      <c r="C320" s="30" t="s">
        <v>1220</v>
      </c>
      <c r="D320" s="31" t="s">
        <v>1189</v>
      </c>
      <c r="E320" s="31" t="s">
        <v>98</v>
      </c>
      <c r="F320" s="31" t="s">
        <v>1106</v>
      </c>
      <c r="G320" s="31" t="s">
        <v>1107</v>
      </c>
      <c r="H320" s="31" t="s">
        <v>1062</v>
      </c>
      <c r="I320" s="33" t="s">
        <v>247</v>
      </c>
      <c r="J320" s="70"/>
      <c r="K320" s="70"/>
    </row>
    <row r="321" customFormat="false" ht="23.25" hidden="false" customHeight="true" outlineLevel="0" collapsed="false">
      <c r="A321" s="69" t="s">
        <v>1052</v>
      </c>
      <c r="B321" s="13" t="s">
        <v>35</v>
      </c>
      <c r="C321" s="30" t="s">
        <v>1221</v>
      </c>
      <c r="D321" s="31" t="s">
        <v>1189</v>
      </c>
      <c r="E321" s="31" t="s">
        <v>98</v>
      </c>
      <c r="F321" s="31" t="s">
        <v>1106</v>
      </c>
      <c r="G321" s="31" t="s">
        <v>1107</v>
      </c>
      <c r="H321" s="31" t="s">
        <v>1062</v>
      </c>
      <c r="I321" s="33" t="s">
        <v>744</v>
      </c>
      <c r="J321" s="70"/>
      <c r="K321" s="70"/>
    </row>
    <row r="322" customFormat="false" ht="23.25" hidden="false" customHeight="true" outlineLevel="0" collapsed="false">
      <c r="A322" s="69" t="s">
        <v>1052</v>
      </c>
      <c r="B322" s="13" t="s">
        <v>35</v>
      </c>
      <c r="C322" s="30" t="s">
        <v>1222</v>
      </c>
      <c r="D322" s="31" t="s">
        <v>1189</v>
      </c>
      <c r="E322" s="31" t="s">
        <v>98</v>
      </c>
      <c r="F322" s="31" t="s">
        <v>1106</v>
      </c>
      <c r="G322" s="31" t="s">
        <v>1107</v>
      </c>
      <c r="H322" s="31" t="s">
        <v>1062</v>
      </c>
      <c r="I322" s="33" t="s">
        <v>753</v>
      </c>
      <c r="J322" s="70"/>
      <c r="K322" s="70"/>
    </row>
    <row r="323" customFormat="false" ht="23.25" hidden="false" customHeight="true" outlineLevel="0" collapsed="false">
      <c r="A323" s="69" t="s">
        <v>1052</v>
      </c>
      <c r="B323" s="13" t="s">
        <v>35</v>
      </c>
      <c r="C323" s="30" t="s">
        <v>1223</v>
      </c>
      <c r="D323" s="31" t="s">
        <v>1189</v>
      </c>
      <c r="E323" s="31" t="s">
        <v>98</v>
      </c>
      <c r="F323" s="31" t="s">
        <v>1106</v>
      </c>
      <c r="G323" s="31" t="s">
        <v>1107</v>
      </c>
      <c r="H323" s="31" t="s">
        <v>1062</v>
      </c>
      <c r="I323" s="33" t="s">
        <v>739</v>
      </c>
      <c r="J323" s="70"/>
      <c r="K323" s="70"/>
    </row>
    <row r="324" customFormat="false" ht="23.25" hidden="false" customHeight="true" outlineLevel="0" collapsed="false">
      <c r="A324" s="69" t="s">
        <v>1052</v>
      </c>
      <c r="B324" s="13" t="s">
        <v>35</v>
      </c>
      <c r="C324" s="30" t="s">
        <v>1224</v>
      </c>
      <c r="D324" s="31" t="s">
        <v>1189</v>
      </c>
      <c r="E324" s="31" t="s">
        <v>98</v>
      </c>
      <c r="F324" s="31" t="s">
        <v>1106</v>
      </c>
      <c r="G324" s="31" t="s">
        <v>1107</v>
      </c>
      <c r="H324" s="31" t="s">
        <v>1062</v>
      </c>
      <c r="I324" s="33" t="s">
        <v>1204</v>
      </c>
      <c r="J324" s="70"/>
      <c r="K324" s="70"/>
    </row>
    <row r="325" customFormat="false" ht="23.25" hidden="false" customHeight="true" outlineLevel="0" collapsed="false">
      <c r="A325" s="69" t="s">
        <v>1052</v>
      </c>
      <c r="B325" s="13" t="s">
        <v>35</v>
      </c>
      <c r="C325" s="30" t="s">
        <v>1225</v>
      </c>
      <c r="D325" s="31" t="s">
        <v>1189</v>
      </c>
      <c r="E325" s="31" t="s">
        <v>98</v>
      </c>
      <c r="F325" s="31" t="s">
        <v>1106</v>
      </c>
      <c r="G325" s="31" t="s">
        <v>1107</v>
      </c>
      <c r="H325" s="31" t="s">
        <v>1062</v>
      </c>
      <c r="I325" s="33" t="s">
        <v>1206</v>
      </c>
      <c r="J325" s="70"/>
      <c r="K325" s="70"/>
    </row>
    <row r="326" customFormat="false" ht="23.25" hidden="false" customHeight="true" outlineLevel="0" collapsed="false">
      <c r="A326" s="69" t="s">
        <v>1052</v>
      </c>
      <c r="B326" s="13" t="s">
        <v>35</v>
      </c>
      <c r="C326" s="30" t="s">
        <v>1226</v>
      </c>
      <c r="D326" s="31" t="s">
        <v>1189</v>
      </c>
      <c r="E326" s="31" t="s">
        <v>98</v>
      </c>
      <c r="F326" s="31" t="s">
        <v>1106</v>
      </c>
      <c r="G326" s="31" t="s">
        <v>1107</v>
      </c>
      <c r="H326" s="31" t="s">
        <v>1062</v>
      </c>
      <c r="I326" s="33" t="s">
        <v>175</v>
      </c>
      <c r="J326" s="70"/>
      <c r="K326" s="70"/>
    </row>
    <row r="327" customFormat="false" ht="23.25" hidden="false" customHeight="true" outlineLevel="0" collapsed="false">
      <c r="A327" s="69" t="s">
        <v>1052</v>
      </c>
      <c r="B327" s="13" t="s">
        <v>35</v>
      </c>
      <c r="C327" s="30" t="s">
        <v>1227</v>
      </c>
      <c r="D327" s="31" t="s">
        <v>1189</v>
      </c>
      <c r="E327" s="31" t="s">
        <v>98</v>
      </c>
      <c r="F327" s="31" t="s">
        <v>1106</v>
      </c>
      <c r="G327" s="31" t="s">
        <v>1107</v>
      </c>
      <c r="H327" s="31" t="s">
        <v>1062</v>
      </c>
      <c r="I327" s="33" t="s">
        <v>184</v>
      </c>
      <c r="J327" s="70"/>
      <c r="K327" s="70"/>
    </row>
    <row r="328" customFormat="false" ht="23.25" hidden="false" customHeight="true" outlineLevel="0" collapsed="false">
      <c r="A328" s="69" t="s">
        <v>1052</v>
      </c>
      <c r="B328" s="13" t="s">
        <v>35</v>
      </c>
      <c r="C328" s="30" t="s">
        <v>1228</v>
      </c>
      <c r="D328" s="31" t="s">
        <v>1189</v>
      </c>
      <c r="E328" s="31" t="s">
        <v>98</v>
      </c>
      <c r="F328" s="31" t="s">
        <v>1106</v>
      </c>
      <c r="G328" s="31" t="s">
        <v>1107</v>
      </c>
      <c r="H328" s="31" t="s">
        <v>1062</v>
      </c>
      <c r="I328" s="33" t="s">
        <v>108</v>
      </c>
      <c r="J328" s="70"/>
      <c r="K328" s="70"/>
    </row>
    <row r="329" customFormat="false" ht="23.25" hidden="false" customHeight="true" outlineLevel="0" collapsed="false">
      <c r="A329" s="69" t="s">
        <v>1052</v>
      </c>
      <c r="B329" s="13" t="s">
        <v>35</v>
      </c>
      <c r="C329" s="30" t="s">
        <v>1229</v>
      </c>
      <c r="D329" s="31" t="s">
        <v>1189</v>
      </c>
      <c r="E329" s="31" t="s">
        <v>98</v>
      </c>
      <c r="F329" s="31" t="s">
        <v>1106</v>
      </c>
      <c r="G329" s="31" t="s">
        <v>1107</v>
      </c>
      <c r="H329" s="31" t="s">
        <v>1062</v>
      </c>
      <c r="I329" s="33" t="s">
        <v>277</v>
      </c>
      <c r="J329" s="70"/>
      <c r="K329" s="70"/>
    </row>
    <row r="330" customFormat="false" ht="23.25" hidden="false" customHeight="true" outlineLevel="0" collapsed="false">
      <c r="A330" s="69" t="s">
        <v>1052</v>
      </c>
      <c r="B330" s="13" t="s">
        <v>35</v>
      </c>
      <c r="C330" s="30" t="s">
        <v>1230</v>
      </c>
      <c r="D330" s="31" t="s">
        <v>1189</v>
      </c>
      <c r="E330" s="31" t="s">
        <v>98</v>
      </c>
      <c r="F330" s="31" t="s">
        <v>1106</v>
      </c>
      <c r="G330" s="31" t="s">
        <v>1107</v>
      </c>
      <c r="H330" s="31" t="s">
        <v>1062</v>
      </c>
      <c r="I330" s="33" t="s">
        <v>245</v>
      </c>
      <c r="J330" s="70"/>
      <c r="K330" s="70"/>
    </row>
    <row r="331" customFormat="false" ht="23.25" hidden="false" customHeight="true" outlineLevel="0" collapsed="false">
      <c r="A331" s="69" t="s">
        <v>1052</v>
      </c>
      <c r="B331" s="13" t="s">
        <v>35</v>
      </c>
      <c r="C331" s="30" t="s">
        <v>1231</v>
      </c>
      <c r="D331" s="31" t="s">
        <v>1189</v>
      </c>
      <c r="E331" s="31" t="s">
        <v>98</v>
      </c>
      <c r="F331" s="31" t="s">
        <v>1106</v>
      </c>
      <c r="G331" s="31" t="s">
        <v>1107</v>
      </c>
      <c r="H331" s="31" t="s">
        <v>1062</v>
      </c>
      <c r="I331" s="33" t="s">
        <v>207</v>
      </c>
      <c r="J331" s="70"/>
      <c r="K331" s="70"/>
    </row>
    <row r="332" customFormat="false" ht="23.25" hidden="false" customHeight="true" outlineLevel="0" collapsed="false">
      <c r="A332" s="69" t="s">
        <v>1052</v>
      </c>
      <c r="B332" s="13" t="s">
        <v>35</v>
      </c>
      <c r="C332" s="30" t="s">
        <v>1232</v>
      </c>
      <c r="D332" s="31" t="s">
        <v>1189</v>
      </c>
      <c r="E332" s="31" t="s">
        <v>98</v>
      </c>
      <c r="F332" s="31" t="s">
        <v>1106</v>
      </c>
      <c r="G332" s="31" t="s">
        <v>1107</v>
      </c>
      <c r="H332" s="31" t="s">
        <v>1062</v>
      </c>
      <c r="I332" s="33" t="s">
        <v>187</v>
      </c>
      <c r="J332" s="70"/>
      <c r="K332" s="70"/>
    </row>
    <row r="333" customFormat="false" ht="23.25" hidden="false" customHeight="true" outlineLevel="0" collapsed="false">
      <c r="A333" s="69" t="s">
        <v>1052</v>
      </c>
      <c r="B333" s="13" t="s">
        <v>35</v>
      </c>
      <c r="C333" s="30" t="s">
        <v>1233</v>
      </c>
      <c r="D333" s="31" t="s">
        <v>1189</v>
      </c>
      <c r="E333" s="31" t="s">
        <v>98</v>
      </c>
      <c r="F333" s="31" t="s">
        <v>1106</v>
      </c>
      <c r="G333" s="31" t="s">
        <v>1107</v>
      </c>
      <c r="H333" s="31" t="s">
        <v>1062</v>
      </c>
      <c r="I333" s="33" t="s">
        <v>1074</v>
      </c>
      <c r="J333" s="70"/>
      <c r="K333" s="70"/>
    </row>
    <row r="334" customFormat="false" ht="23.25" hidden="false" customHeight="true" outlineLevel="0" collapsed="false">
      <c r="A334" s="69" t="s">
        <v>1052</v>
      </c>
      <c r="B334" s="13" t="s">
        <v>35</v>
      </c>
      <c r="C334" s="30" t="s">
        <v>1234</v>
      </c>
      <c r="D334" s="31" t="s">
        <v>1189</v>
      </c>
      <c r="E334" s="31" t="s">
        <v>98</v>
      </c>
      <c r="F334" s="31" t="s">
        <v>1106</v>
      </c>
      <c r="G334" s="31" t="s">
        <v>1107</v>
      </c>
      <c r="H334" s="31" t="s">
        <v>1062</v>
      </c>
      <c r="I334" s="33" t="s">
        <v>249</v>
      </c>
      <c r="J334" s="70"/>
      <c r="K334" s="70"/>
    </row>
    <row r="335" customFormat="false" ht="23.25" hidden="false" customHeight="true" outlineLevel="0" collapsed="false">
      <c r="A335" s="69" t="s">
        <v>1052</v>
      </c>
      <c r="B335" s="13" t="s">
        <v>35</v>
      </c>
      <c r="C335" s="30" t="s">
        <v>1235</v>
      </c>
      <c r="D335" s="31" t="s">
        <v>1189</v>
      </c>
      <c r="E335" s="31" t="s">
        <v>98</v>
      </c>
      <c r="F335" s="31" t="s">
        <v>1106</v>
      </c>
      <c r="G335" s="31" t="s">
        <v>1107</v>
      </c>
      <c r="H335" s="31" t="s">
        <v>1062</v>
      </c>
      <c r="I335" s="33" t="s">
        <v>1236</v>
      </c>
      <c r="J335" s="70"/>
      <c r="K335" s="70"/>
    </row>
    <row r="336" customFormat="false" ht="23.25" hidden="false" customHeight="true" outlineLevel="0" collapsed="false">
      <c r="A336" s="69" t="s">
        <v>1052</v>
      </c>
      <c r="B336" s="13" t="s">
        <v>34</v>
      </c>
      <c r="C336" s="22" t="s">
        <v>1237</v>
      </c>
      <c r="D336" s="23" t="s">
        <v>1238</v>
      </c>
      <c r="E336" s="23" t="s">
        <v>98</v>
      </c>
      <c r="F336" s="23" t="s">
        <v>1239</v>
      </c>
      <c r="G336" s="23" t="s">
        <v>1240</v>
      </c>
      <c r="H336" s="23" t="s">
        <v>452</v>
      </c>
      <c r="I336" s="25" t="s">
        <v>163</v>
      </c>
      <c r="J336" s="70"/>
      <c r="K336" s="70"/>
    </row>
    <row r="337" customFormat="false" ht="23.25" hidden="false" customHeight="true" outlineLevel="0" collapsed="false">
      <c r="A337" s="69" t="s">
        <v>1052</v>
      </c>
      <c r="B337" s="13" t="s">
        <v>32</v>
      </c>
      <c r="C337" s="30" t="s">
        <v>1241</v>
      </c>
      <c r="D337" s="31" t="s">
        <v>1242</v>
      </c>
      <c r="E337" s="31" t="s">
        <v>98</v>
      </c>
      <c r="F337" s="31" t="s">
        <v>1243</v>
      </c>
      <c r="G337" s="31" t="s">
        <v>1244</v>
      </c>
      <c r="H337" s="31" t="s">
        <v>1062</v>
      </c>
      <c r="I337" s="33" t="s">
        <v>1245</v>
      </c>
      <c r="J337" s="70"/>
      <c r="K337" s="70"/>
    </row>
    <row r="338" customFormat="false" ht="23.25" hidden="false" customHeight="true" outlineLevel="0" collapsed="false">
      <c r="A338" s="69" t="s">
        <v>1052</v>
      </c>
      <c r="B338" s="13" t="s">
        <v>31</v>
      </c>
      <c r="C338" s="30" t="s">
        <v>1246</v>
      </c>
      <c r="D338" s="31" t="s">
        <v>1103</v>
      </c>
      <c r="E338" s="31" t="s">
        <v>98</v>
      </c>
      <c r="F338" s="31" t="s">
        <v>539</v>
      </c>
      <c r="G338" s="31" t="s">
        <v>540</v>
      </c>
      <c r="H338" s="31" t="s">
        <v>142</v>
      </c>
      <c r="I338" s="33" t="s">
        <v>345</v>
      </c>
      <c r="J338" s="70"/>
      <c r="K338" s="70"/>
    </row>
    <row r="339" customFormat="false" ht="23.25" hidden="false" customHeight="true" outlineLevel="0" collapsed="false">
      <c r="A339" s="69" t="s">
        <v>1052</v>
      </c>
      <c r="B339" s="13" t="s">
        <v>31</v>
      </c>
      <c r="C339" s="30" t="s">
        <v>1247</v>
      </c>
      <c r="D339" s="31" t="s">
        <v>1242</v>
      </c>
      <c r="E339" s="31" t="s">
        <v>98</v>
      </c>
      <c r="F339" s="31" t="s">
        <v>1248</v>
      </c>
      <c r="G339" s="31" t="s">
        <v>1249</v>
      </c>
      <c r="H339" s="31" t="s">
        <v>107</v>
      </c>
      <c r="I339" s="33" t="s">
        <v>245</v>
      </c>
      <c r="J339" s="70"/>
      <c r="K339" s="70"/>
    </row>
    <row r="340" customFormat="false" ht="23.25" hidden="false" customHeight="true" outlineLevel="0" collapsed="false">
      <c r="A340" s="69" t="s">
        <v>1052</v>
      </c>
      <c r="B340" s="13" t="s">
        <v>30</v>
      </c>
      <c r="C340" s="30" t="s">
        <v>1250</v>
      </c>
      <c r="D340" s="31" t="s">
        <v>1103</v>
      </c>
      <c r="E340" s="31" t="s">
        <v>98</v>
      </c>
      <c r="F340" s="31" t="s">
        <v>1251</v>
      </c>
      <c r="G340" s="31" t="s">
        <v>1252</v>
      </c>
      <c r="H340" s="31" t="s">
        <v>107</v>
      </c>
      <c r="I340" s="33" t="s">
        <v>245</v>
      </c>
      <c r="J340" s="70"/>
      <c r="K340" s="70"/>
    </row>
    <row r="341" customFormat="false" ht="23.25" hidden="false" customHeight="true" outlineLevel="0" collapsed="false">
      <c r="A341" s="69" t="s">
        <v>1052</v>
      </c>
      <c r="B341" s="13" t="s">
        <v>28</v>
      </c>
      <c r="C341" s="30" t="s">
        <v>1253</v>
      </c>
      <c r="D341" s="31" t="s">
        <v>1189</v>
      </c>
      <c r="E341" s="31" t="s">
        <v>98</v>
      </c>
      <c r="F341" s="31" t="s">
        <v>1254</v>
      </c>
      <c r="G341" s="31" t="s">
        <v>1255</v>
      </c>
      <c r="H341" s="31" t="s">
        <v>452</v>
      </c>
      <c r="I341" s="33" t="s">
        <v>1057</v>
      </c>
      <c r="J341" s="70"/>
      <c r="K341" s="70"/>
    </row>
    <row r="342" customFormat="false" ht="23.25" hidden="false" customHeight="true" outlineLevel="0" collapsed="false">
      <c r="A342" s="69" t="s">
        <v>1052</v>
      </c>
      <c r="B342" s="13" t="s">
        <v>28</v>
      </c>
      <c r="C342" s="38" t="s">
        <v>1256</v>
      </c>
      <c r="D342" s="39" t="s">
        <v>396</v>
      </c>
      <c r="E342" s="39" t="s">
        <v>98</v>
      </c>
      <c r="F342" s="39" t="s">
        <v>1257</v>
      </c>
      <c r="G342" s="39" t="s">
        <v>1258</v>
      </c>
      <c r="H342" s="39" t="s">
        <v>1068</v>
      </c>
      <c r="I342" s="41" t="s">
        <v>245</v>
      </c>
      <c r="J342" s="70"/>
      <c r="K342" s="70"/>
    </row>
    <row r="343" customFormat="false" ht="23.25" hidden="false" customHeight="true" outlineLevel="0" collapsed="false">
      <c r="A343" s="69" t="s">
        <v>1052</v>
      </c>
      <c r="B343" s="13" t="s">
        <v>28</v>
      </c>
      <c r="C343" s="38" t="s">
        <v>1259</v>
      </c>
      <c r="D343" s="39" t="s">
        <v>396</v>
      </c>
      <c r="E343" s="39" t="s">
        <v>98</v>
      </c>
      <c r="F343" s="39" t="s">
        <v>1260</v>
      </c>
      <c r="G343" s="39" t="s">
        <v>1261</v>
      </c>
      <c r="H343" s="39" t="s">
        <v>1068</v>
      </c>
      <c r="I343" s="41" t="s">
        <v>1236</v>
      </c>
      <c r="J343" s="70"/>
      <c r="K343" s="70"/>
    </row>
    <row r="344" customFormat="false" ht="23.25" hidden="false" customHeight="true" outlineLevel="0" collapsed="false">
      <c r="A344" s="69" t="s">
        <v>1052</v>
      </c>
      <c r="B344" s="13" t="s">
        <v>27</v>
      </c>
      <c r="C344" s="30" t="s">
        <v>1262</v>
      </c>
      <c r="D344" s="31" t="s">
        <v>1103</v>
      </c>
      <c r="E344" s="31" t="s">
        <v>98</v>
      </c>
      <c r="F344" s="31" t="s">
        <v>1263</v>
      </c>
      <c r="G344" s="31" t="s">
        <v>1264</v>
      </c>
      <c r="H344" s="31" t="s">
        <v>107</v>
      </c>
      <c r="I344" s="33" t="s">
        <v>245</v>
      </c>
      <c r="J344" s="70"/>
      <c r="K344" s="70"/>
    </row>
    <row r="345" customFormat="false" ht="23.25" hidden="false" customHeight="true" outlineLevel="0" collapsed="false">
      <c r="A345" s="69" t="s">
        <v>1052</v>
      </c>
      <c r="B345" s="13" t="s">
        <v>27</v>
      </c>
      <c r="C345" s="30" t="s">
        <v>1265</v>
      </c>
      <c r="D345" s="31" t="s">
        <v>1103</v>
      </c>
      <c r="E345" s="31" t="s">
        <v>98</v>
      </c>
      <c r="F345" s="31" t="s">
        <v>1263</v>
      </c>
      <c r="G345" s="31" t="s">
        <v>1264</v>
      </c>
      <c r="H345" s="31" t="s">
        <v>115</v>
      </c>
      <c r="I345" s="33" t="s">
        <v>739</v>
      </c>
      <c r="J345" s="70"/>
      <c r="K345" s="70"/>
    </row>
    <row r="346" customFormat="false" ht="23.25" hidden="false" customHeight="true" outlineLevel="0" collapsed="false">
      <c r="A346" s="69" t="s">
        <v>1052</v>
      </c>
      <c r="B346" s="13" t="s">
        <v>27</v>
      </c>
      <c r="C346" s="30" t="s">
        <v>1266</v>
      </c>
      <c r="D346" s="31" t="s">
        <v>1267</v>
      </c>
      <c r="E346" s="31" t="s">
        <v>98</v>
      </c>
      <c r="F346" s="31" t="s">
        <v>1268</v>
      </c>
      <c r="G346" s="31" t="s">
        <v>1269</v>
      </c>
      <c r="H346" s="31" t="s">
        <v>1062</v>
      </c>
      <c r="I346" s="33" t="s">
        <v>1175</v>
      </c>
      <c r="J346" s="70"/>
      <c r="K346" s="70"/>
    </row>
    <row r="347" customFormat="false" ht="23.25" hidden="false" customHeight="true" outlineLevel="0" collapsed="false">
      <c r="A347" s="69" t="s">
        <v>1052</v>
      </c>
      <c r="B347" s="13" t="s">
        <v>27</v>
      </c>
      <c r="C347" s="30" t="s">
        <v>1270</v>
      </c>
      <c r="D347" s="31" t="s">
        <v>1103</v>
      </c>
      <c r="E347" s="31" t="s">
        <v>98</v>
      </c>
      <c r="F347" s="31" t="s">
        <v>1271</v>
      </c>
      <c r="G347" s="31" t="s">
        <v>1272</v>
      </c>
      <c r="H347" s="31" t="s">
        <v>73</v>
      </c>
      <c r="I347" s="33" t="s">
        <v>1164</v>
      </c>
      <c r="J347" s="70"/>
      <c r="K347" s="70"/>
    </row>
    <row r="348" customFormat="false" ht="23.25" hidden="false" customHeight="true" outlineLevel="0" collapsed="false">
      <c r="A348" s="69" t="s">
        <v>1052</v>
      </c>
      <c r="B348" s="13" t="s">
        <v>27</v>
      </c>
      <c r="C348" s="30" t="s">
        <v>1273</v>
      </c>
      <c r="D348" s="31" t="s">
        <v>1103</v>
      </c>
      <c r="E348" s="31" t="s">
        <v>98</v>
      </c>
      <c r="F348" s="31" t="s">
        <v>1271</v>
      </c>
      <c r="G348" s="31" t="s">
        <v>1272</v>
      </c>
      <c r="H348" s="31" t="s">
        <v>107</v>
      </c>
      <c r="I348" s="33" t="s">
        <v>245</v>
      </c>
      <c r="J348" s="70"/>
      <c r="K348" s="70"/>
    </row>
    <row r="349" customFormat="false" ht="23.25" hidden="false" customHeight="true" outlineLevel="0" collapsed="false">
      <c r="A349" s="69" t="s">
        <v>1052</v>
      </c>
      <c r="B349" s="13" t="s">
        <v>27</v>
      </c>
      <c r="C349" s="30" t="s">
        <v>1274</v>
      </c>
      <c r="D349" s="31" t="s">
        <v>1103</v>
      </c>
      <c r="E349" s="31" t="s">
        <v>98</v>
      </c>
      <c r="F349" s="31" t="s">
        <v>1271</v>
      </c>
      <c r="G349" s="31" t="s">
        <v>1272</v>
      </c>
      <c r="H349" s="31" t="s">
        <v>73</v>
      </c>
      <c r="I349" s="33" t="s">
        <v>1160</v>
      </c>
      <c r="J349" s="70"/>
      <c r="K349" s="70"/>
    </row>
    <row r="350" customFormat="false" ht="23.25" hidden="false" customHeight="true" outlineLevel="0" collapsed="false">
      <c r="A350" s="69" t="s">
        <v>1052</v>
      </c>
      <c r="B350" s="13" t="s">
        <v>27</v>
      </c>
      <c r="C350" s="30" t="s">
        <v>1275</v>
      </c>
      <c r="D350" s="31" t="s">
        <v>1103</v>
      </c>
      <c r="E350" s="31" t="s">
        <v>98</v>
      </c>
      <c r="F350" s="31" t="s">
        <v>1271</v>
      </c>
      <c r="G350" s="31" t="s">
        <v>1272</v>
      </c>
      <c r="H350" s="31" t="s">
        <v>73</v>
      </c>
      <c r="I350" s="33" t="s">
        <v>1162</v>
      </c>
      <c r="J350" s="70"/>
      <c r="K350" s="70"/>
    </row>
    <row r="351" customFormat="false" ht="23.25" hidden="false" customHeight="true" outlineLevel="0" collapsed="false">
      <c r="A351" s="69" t="s">
        <v>1052</v>
      </c>
      <c r="B351" s="13" t="s">
        <v>27</v>
      </c>
      <c r="C351" s="30" t="s">
        <v>1276</v>
      </c>
      <c r="D351" s="31" t="s">
        <v>1103</v>
      </c>
      <c r="E351" s="31" t="s">
        <v>98</v>
      </c>
      <c r="F351" s="31" t="s">
        <v>1271</v>
      </c>
      <c r="G351" s="31" t="s">
        <v>1272</v>
      </c>
      <c r="H351" s="31" t="s">
        <v>115</v>
      </c>
      <c r="I351" s="33" t="s">
        <v>744</v>
      </c>
      <c r="J351" s="70"/>
      <c r="K351" s="70"/>
    </row>
    <row r="352" customFormat="false" ht="23.25" hidden="false" customHeight="true" outlineLevel="0" collapsed="false">
      <c r="A352" s="69" t="s">
        <v>1052</v>
      </c>
      <c r="B352" s="13" t="s">
        <v>27</v>
      </c>
      <c r="C352" s="30" t="s">
        <v>1277</v>
      </c>
      <c r="D352" s="31" t="s">
        <v>1103</v>
      </c>
      <c r="E352" s="31" t="s">
        <v>98</v>
      </c>
      <c r="F352" s="31" t="s">
        <v>1278</v>
      </c>
      <c r="G352" s="31" t="s">
        <v>1279</v>
      </c>
      <c r="H352" s="31" t="s">
        <v>73</v>
      </c>
      <c r="I352" s="33" t="s">
        <v>1132</v>
      </c>
      <c r="J352" s="70"/>
      <c r="K352" s="70"/>
    </row>
    <row r="353" customFormat="false" ht="23.25" hidden="false" customHeight="true" outlineLevel="0" collapsed="false">
      <c r="A353" s="69" t="s">
        <v>1052</v>
      </c>
      <c r="B353" s="13" t="s">
        <v>27</v>
      </c>
      <c r="C353" s="30" t="s">
        <v>1280</v>
      </c>
      <c r="D353" s="31" t="s">
        <v>1103</v>
      </c>
      <c r="E353" s="31" t="s">
        <v>98</v>
      </c>
      <c r="F353" s="31" t="s">
        <v>1278</v>
      </c>
      <c r="G353" s="31" t="s">
        <v>1279</v>
      </c>
      <c r="H353" s="31" t="s">
        <v>73</v>
      </c>
      <c r="I353" s="33" t="s">
        <v>1134</v>
      </c>
      <c r="J353" s="70"/>
      <c r="K353" s="70"/>
    </row>
    <row r="354" customFormat="false" ht="23.25" hidden="false" customHeight="true" outlineLevel="0" collapsed="false">
      <c r="A354" s="69" t="s">
        <v>1052</v>
      </c>
      <c r="B354" s="13" t="s">
        <v>27</v>
      </c>
      <c r="C354" s="30" t="s">
        <v>1281</v>
      </c>
      <c r="D354" s="31" t="s">
        <v>1103</v>
      </c>
      <c r="E354" s="31" t="s">
        <v>98</v>
      </c>
      <c r="F354" s="31" t="s">
        <v>1278</v>
      </c>
      <c r="G354" s="31" t="s">
        <v>1279</v>
      </c>
      <c r="H354" s="31" t="s">
        <v>73</v>
      </c>
      <c r="I354" s="33" t="s">
        <v>224</v>
      </c>
      <c r="J354" s="70"/>
      <c r="K354" s="70"/>
    </row>
    <row r="355" customFormat="false" ht="23.25" hidden="false" customHeight="true" outlineLevel="0" collapsed="false">
      <c r="A355" s="69" t="s">
        <v>1052</v>
      </c>
      <c r="B355" s="13" t="s">
        <v>27</v>
      </c>
      <c r="C355" s="30" t="s">
        <v>1282</v>
      </c>
      <c r="D355" s="31" t="s">
        <v>1103</v>
      </c>
      <c r="E355" s="31" t="s">
        <v>98</v>
      </c>
      <c r="F355" s="31" t="s">
        <v>1278</v>
      </c>
      <c r="G355" s="31" t="s">
        <v>1279</v>
      </c>
      <c r="H355" s="31" t="s">
        <v>73</v>
      </c>
      <c r="I355" s="33" t="s">
        <v>128</v>
      </c>
      <c r="J355" s="70"/>
      <c r="K355" s="70"/>
    </row>
    <row r="356" customFormat="false" ht="23.25" hidden="false" customHeight="true" outlineLevel="0" collapsed="false">
      <c r="A356" s="69" t="s">
        <v>1052</v>
      </c>
      <c r="B356" s="13" t="s">
        <v>27</v>
      </c>
      <c r="C356" s="30" t="s">
        <v>1283</v>
      </c>
      <c r="D356" s="31" t="s">
        <v>1103</v>
      </c>
      <c r="E356" s="31" t="s">
        <v>98</v>
      </c>
      <c r="F356" s="31" t="s">
        <v>1278</v>
      </c>
      <c r="G356" s="31" t="s">
        <v>1279</v>
      </c>
      <c r="H356" s="31" t="s">
        <v>73</v>
      </c>
      <c r="I356" s="33" t="s">
        <v>111</v>
      </c>
      <c r="J356" s="70"/>
      <c r="K356" s="70"/>
    </row>
    <row r="357" customFormat="false" ht="23.25" hidden="false" customHeight="true" outlineLevel="0" collapsed="false">
      <c r="A357" s="69" t="s">
        <v>1052</v>
      </c>
      <c r="B357" s="13" t="s">
        <v>27</v>
      </c>
      <c r="C357" s="30" t="s">
        <v>1284</v>
      </c>
      <c r="D357" s="31" t="s">
        <v>1103</v>
      </c>
      <c r="E357" s="31" t="s">
        <v>98</v>
      </c>
      <c r="F357" s="31" t="s">
        <v>1278</v>
      </c>
      <c r="G357" s="31" t="s">
        <v>1279</v>
      </c>
      <c r="H357" s="31" t="s">
        <v>73</v>
      </c>
      <c r="I357" s="33" t="s">
        <v>124</v>
      </c>
      <c r="J357" s="70"/>
      <c r="K357" s="70"/>
    </row>
    <row r="358" customFormat="false" ht="23.25" hidden="false" customHeight="true" outlineLevel="0" collapsed="false">
      <c r="A358" s="69" t="s">
        <v>1052</v>
      </c>
      <c r="B358" s="13" t="s">
        <v>27</v>
      </c>
      <c r="C358" s="30" t="s">
        <v>1285</v>
      </c>
      <c r="D358" s="31" t="s">
        <v>1103</v>
      </c>
      <c r="E358" s="31" t="s">
        <v>98</v>
      </c>
      <c r="F358" s="31" t="s">
        <v>1278</v>
      </c>
      <c r="G358" s="31" t="s">
        <v>1279</v>
      </c>
      <c r="H358" s="31" t="s">
        <v>73</v>
      </c>
      <c r="I358" s="33" t="s">
        <v>101</v>
      </c>
      <c r="J358" s="70"/>
      <c r="K358" s="70"/>
    </row>
    <row r="359" customFormat="false" ht="23.25" hidden="false" customHeight="true" outlineLevel="0" collapsed="false">
      <c r="A359" s="69" t="s">
        <v>1052</v>
      </c>
      <c r="B359" s="13" t="s">
        <v>27</v>
      </c>
      <c r="C359" s="30" t="s">
        <v>1286</v>
      </c>
      <c r="D359" s="31" t="s">
        <v>1103</v>
      </c>
      <c r="E359" s="31" t="s">
        <v>98</v>
      </c>
      <c r="F359" s="31" t="s">
        <v>1278</v>
      </c>
      <c r="G359" s="31" t="s">
        <v>1279</v>
      </c>
      <c r="H359" s="31" t="s">
        <v>73</v>
      </c>
      <c r="I359" s="33" t="s">
        <v>119</v>
      </c>
      <c r="J359" s="70"/>
      <c r="K359" s="70"/>
    </row>
    <row r="360" customFormat="false" ht="23.25" hidden="false" customHeight="true" outlineLevel="0" collapsed="false">
      <c r="A360" s="69" t="s">
        <v>1052</v>
      </c>
      <c r="B360" s="13" t="s">
        <v>27</v>
      </c>
      <c r="C360" s="30" t="s">
        <v>1287</v>
      </c>
      <c r="D360" s="31" t="s">
        <v>1103</v>
      </c>
      <c r="E360" s="31" t="s">
        <v>98</v>
      </c>
      <c r="F360" s="31" t="s">
        <v>1278</v>
      </c>
      <c r="G360" s="31" t="s">
        <v>1279</v>
      </c>
      <c r="H360" s="31" t="s">
        <v>73</v>
      </c>
      <c r="I360" s="33" t="s">
        <v>105</v>
      </c>
      <c r="J360" s="70"/>
      <c r="K360" s="70"/>
    </row>
    <row r="361" customFormat="false" ht="23.25" hidden="false" customHeight="true" outlineLevel="0" collapsed="false">
      <c r="A361" s="69" t="s">
        <v>1052</v>
      </c>
      <c r="B361" s="13" t="s">
        <v>27</v>
      </c>
      <c r="C361" s="30" t="s">
        <v>1288</v>
      </c>
      <c r="D361" s="31" t="s">
        <v>1103</v>
      </c>
      <c r="E361" s="31" t="s">
        <v>98</v>
      </c>
      <c r="F361" s="31" t="s">
        <v>1278</v>
      </c>
      <c r="G361" s="31" t="s">
        <v>1279</v>
      </c>
      <c r="H361" s="31" t="s">
        <v>73</v>
      </c>
      <c r="I361" s="33" t="s">
        <v>113</v>
      </c>
      <c r="J361" s="70"/>
      <c r="K361" s="70"/>
    </row>
    <row r="362" customFormat="false" ht="23.25" hidden="false" customHeight="true" outlineLevel="0" collapsed="false">
      <c r="A362" s="69" t="s">
        <v>1052</v>
      </c>
      <c r="B362" s="13" t="s">
        <v>27</v>
      </c>
      <c r="C362" s="30" t="s">
        <v>1289</v>
      </c>
      <c r="D362" s="31" t="s">
        <v>1103</v>
      </c>
      <c r="E362" s="31" t="s">
        <v>98</v>
      </c>
      <c r="F362" s="31" t="s">
        <v>1278</v>
      </c>
      <c r="G362" s="31" t="s">
        <v>1279</v>
      </c>
      <c r="H362" s="31" t="s">
        <v>73</v>
      </c>
      <c r="I362" s="33" t="s">
        <v>134</v>
      </c>
      <c r="J362" s="70"/>
      <c r="K362" s="70"/>
    </row>
    <row r="363" customFormat="false" ht="23.25" hidden="false" customHeight="true" outlineLevel="0" collapsed="false">
      <c r="A363" s="69" t="s">
        <v>1052</v>
      </c>
      <c r="B363" s="13" t="s">
        <v>27</v>
      </c>
      <c r="C363" s="30" t="s">
        <v>1290</v>
      </c>
      <c r="D363" s="31" t="s">
        <v>1103</v>
      </c>
      <c r="E363" s="31" t="s">
        <v>98</v>
      </c>
      <c r="F363" s="31" t="s">
        <v>1278</v>
      </c>
      <c r="G363" s="31" t="s">
        <v>1279</v>
      </c>
      <c r="H363" s="31" t="s">
        <v>73</v>
      </c>
      <c r="I363" s="33" t="s">
        <v>126</v>
      </c>
      <c r="J363" s="70"/>
      <c r="K363" s="70"/>
    </row>
    <row r="364" customFormat="false" ht="23.25" hidden="false" customHeight="true" outlineLevel="0" collapsed="false">
      <c r="A364" s="69" t="s">
        <v>1052</v>
      </c>
      <c r="B364" s="13" t="s">
        <v>27</v>
      </c>
      <c r="C364" s="30" t="s">
        <v>1291</v>
      </c>
      <c r="D364" s="31" t="s">
        <v>1103</v>
      </c>
      <c r="E364" s="31" t="s">
        <v>98</v>
      </c>
      <c r="F364" s="31" t="s">
        <v>1278</v>
      </c>
      <c r="G364" s="31" t="s">
        <v>1279</v>
      </c>
      <c r="H364" s="31" t="s">
        <v>73</v>
      </c>
      <c r="I364" s="33" t="s">
        <v>154</v>
      </c>
      <c r="J364" s="70"/>
      <c r="K364" s="70"/>
    </row>
    <row r="365" customFormat="false" ht="23.25" hidden="false" customHeight="true" outlineLevel="0" collapsed="false">
      <c r="A365" s="69" t="s">
        <v>1052</v>
      </c>
      <c r="B365" s="13" t="s">
        <v>27</v>
      </c>
      <c r="C365" s="30" t="s">
        <v>1292</v>
      </c>
      <c r="D365" s="31" t="s">
        <v>1103</v>
      </c>
      <c r="E365" s="31" t="s">
        <v>98</v>
      </c>
      <c r="F365" s="31" t="s">
        <v>1278</v>
      </c>
      <c r="G365" s="31" t="s">
        <v>1279</v>
      </c>
      <c r="H365" s="31" t="s">
        <v>73</v>
      </c>
      <c r="I365" s="33" t="s">
        <v>364</v>
      </c>
      <c r="J365" s="70"/>
      <c r="K365" s="70"/>
    </row>
    <row r="366" customFormat="false" ht="23.25" hidden="false" customHeight="true" outlineLevel="0" collapsed="false">
      <c r="A366" s="69" t="s">
        <v>1052</v>
      </c>
      <c r="B366" s="13" t="s">
        <v>27</v>
      </c>
      <c r="C366" s="30" t="s">
        <v>1293</v>
      </c>
      <c r="D366" s="31" t="s">
        <v>1103</v>
      </c>
      <c r="E366" s="31" t="s">
        <v>98</v>
      </c>
      <c r="F366" s="31" t="s">
        <v>1278</v>
      </c>
      <c r="G366" s="31" t="s">
        <v>1279</v>
      </c>
      <c r="H366" s="31" t="s">
        <v>73</v>
      </c>
      <c r="I366" s="33" t="s">
        <v>297</v>
      </c>
      <c r="J366" s="70"/>
      <c r="K366" s="70"/>
    </row>
    <row r="367" customFormat="false" ht="23.25" hidden="false" customHeight="true" outlineLevel="0" collapsed="false">
      <c r="A367" s="69" t="s">
        <v>1052</v>
      </c>
      <c r="B367" s="13" t="s">
        <v>27</v>
      </c>
      <c r="C367" s="30" t="s">
        <v>1294</v>
      </c>
      <c r="D367" s="31" t="s">
        <v>1103</v>
      </c>
      <c r="E367" s="31" t="s">
        <v>98</v>
      </c>
      <c r="F367" s="31" t="s">
        <v>1278</v>
      </c>
      <c r="G367" s="31" t="s">
        <v>1279</v>
      </c>
      <c r="H367" s="31" t="s">
        <v>73</v>
      </c>
      <c r="I367" s="33" t="s">
        <v>151</v>
      </c>
      <c r="J367" s="70"/>
      <c r="K367" s="70"/>
    </row>
    <row r="368" customFormat="false" ht="23.25" hidden="false" customHeight="true" outlineLevel="0" collapsed="false">
      <c r="A368" s="69" t="s">
        <v>1052</v>
      </c>
      <c r="B368" s="13" t="s">
        <v>27</v>
      </c>
      <c r="C368" s="30" t="s">
        <v>1295</v>
      </c>
      <c r="D368" s="31" t="s">
        <v>1103</v>
      </c>
      <c r="E368" s="31" t="s">
        <v>98</v>
      </c>
      <c r="F368" s="31" t="s">
        <v>1278</v>
      </c>
      <c r="G368" s="31" t="s">
        <v>1279</v>
      </c>
      <c r="H368" s="31" t="s">
        <v>73</v>
      </c>
      <c r="I368" s="33" t="s">
        <v>121</v>
      </c>
      <c r="J368" s="70"/>
      <c r="K368" s="70"/>
    </row>
    <row r="369" customFormat="false" ht="23.25" hidden="false" customHeight="true" outlineLevel="0" collapsed="false">
      <c r="A369" s="69" t="s">
        <v>1052</v>
      </c>
      <c r="B369" s="13" t="s">
        <v>27</v>
      </c>
      <c r="C369" s="30" t="s">
        <v>1296</v>
      </c>
      <c r="D369" s="31" t="s">
        <v>1103</v>
      </c>
      <c r="E369" s="31" t="s">
        <v>98</v>
      </c>
      <c r="F369" s="31" t="s">
        <v>1278</v>
      </c>
      <c r="G369" s="31" t="s">
        <v>1279</v>
      </c>
      <c r="H369" s="31" t="s">
        <v>73</v>
      </c>
      <c r="I369" s="33" t="s">
        <v>139</v>
      </c>
      <c r="J369" s="70"/>
      <c r="K369" s="70"/>
    </row>
    <row r="370" customFormat="false" ht="23.25" hidden="false" customHeight="true" outlineLevel="0" collapsed="false">
      <c r="A370" s="69" t="s">
        <v>1052</v>
      </c>
      <c r="B370" s="13" t="s">
        <v>27</v>
      </c>
      <c r="C370" s="30" t="s">
        <v>1297</v>
      </c>
      <c r="D370" s="31" t="s">
        <v>1103</v>
      </c>
      <c r="E370" s="31" t="s">
        <v>98</v>
      </c>
      <c r="F370" s="31" t="s">
        <v>1278</v>
      </c>
      <c r="G370" s="31" t="s">
        <v>1279</v>
      </c>
      <c r="H370" s="31" t="s">
        <v>73</v>
      </c>
      <c r="I370" s="33" t="s">
        <v>302</v>
      </c>
      <c r="J370" s="70"/>
      <c r="K370" s="70"/>
    </row>
    <row r="371" customFormat="false" ht="23.25" hidden="false" customHeight="true" outlineLevel="0" collapsed="false">
      <c r="A371" s="69" t="s">
        <v>1052</v>
      </c>
      <c r="B371" s="13" t="s">
        <v>27</v>
      </c>
      <c r="C371" s="30" t="s">
        <v>1298</v>
      </c>
      <c r="D371" s="31" t="s">
        <v>1103</v>
      </c>
      <c r="E371" s="31" t="s">
        <v>98</v>
      </c>
      <c r="F371" s="31" t="s">
        <v>1278</v>
      </c>
      <c r="G371" s="31" t="s">
        <v>1279</v>
      </c>
      <c r="H371" s="31" t="s">
        <v>73</v>
      </c>
      <c r="I371" s="33" t="s">
        <v>130</v>
      </c>
      <c r="J371" s="70"/>
      <c r="K371" s="70"/>
    </row>
    <row r="372" customFormat="false" ht="23.25" hidden="false" customHeight="true" outlineLevel="0" collapsed="false">
      <c r="A372" s="69" t="s">
        <v>1052</v>
      </c>
      <c r="B372" s="13" t="s">
        <v>27</v>
      </c>
      <c r="C372" s="30" t="s">
        <v>1299</v>
      </c>
      <c r="D372" s="31" t="s">
        <v>1103</v>
      </c>
      <c r="E372" s="31" t="s">
        <v>98</v>
      </c>
      <c r="F372" s="31" t="s">
        <v>1278</v>
      </c>
      <c r="G372" s="31" t="s">
        <v>1279</v>
      </c>
      <c r="H372" s="31" t="s">
        <v>73</v>
      </c>
      <c r="I372" s="33" t="s">
        <v>255</v>
      </c>
      <c r="J372" s="70"/>
      <c r="K372" s="70"/>
    </row>
    <row r="373" customFormat="false" ht="23.25" hidden="false" customHeight="true" outlineLevel="0" collapsed="false">
      <c r="A373" s="69" t="s">
        <v>1052</v>
      </c>
      <c r="B373" s="13" t="s">
        <v>27</v>
      </c>
      <c r="C373" s="30" t="s">
        <v>1300</v>
      </c>
      <c r="D373" s="31" t="s">
        <v>1103</v>
      </c>
      <c r="E373" s="31" t="s">
        <v>98</v>
      </c>
      <c r="F373" s="31" t="s">
        <v>1278</v>
      </c>
      <c r="G373" s="31" t="s">
        <v>1279</v>
      </c>
      <c r="H373" s="31" t="s">
        <v>73</v>
      </c>
      <c r="I373" s="33" t="s">
        <v>257</v>
      </c>
      <c r="J373" s="70"/>
      <c r="K373" s="70"/>
    </row>
    <row r="374" customFormat="false" ht="23.25" hidden="false" customHeight="true" outlineLevel="0" collapsed="false">
      <c r="A374" s="69" t="s">
        <v>1052</v>
      </c>
      <c r="B374" s="13" t="s">
        <v>27</v>
      </c>
      <c r="C374" s="30" t="s">
        <v>1301</v>
      </c>
      <c r="D374" s="31" t="s">
        <v>1103</v>
      </c>
      <c r="E374" s="31" t="s">
        <v>98</v>
      </c>
      <c r="F374" s="31" t="s">
        <v>1278</v>
      </c>
      <c r="G374" s="31" t="s">
        <v>1279</v>
      </c>
      <c r="H374" s="31" t="s">
        <v>73</v>
      </c>
      <c r="I374" s="33" t="s">
        <v>259</v>
      </c>
      <c r="J374" s="70"/>
      <c r="K374" s="70"/>
    </row>
    <row r="375" customFormat="false" ht="23.25" hidden="false" customHeight="true" outlineLevel="0" collapsed="false">
      <c r="A375" s="69" t="s">
        <v>1052</v>
      </c>
      <c r="B375" s="13" t="s">
        <v>27</v>
      </c>
      <c r="C375" s="30" t="s">
        <v>1302</v>
      </c>
      <c r="D375" s="31" t="s">
        <v>1103</v>
      </c>
      <c r="E375" s="31" t="s">
        <v>98</v>
      </c>
      <c r="F375" s="31" t="s">
        <v>1278</v>
      </c>
      <c r="G375" s="31" t="s">
        <v>1279</v>
      </c>
      <c r="H375" s="31" t="s">
        <v>73</v>
      </c>
      <c r="I375" s="33" t="s">
        <v>261</v>
      </c>
      <c r="J375" s="70"/>
      <c r="K375" s="70"/>
    </row>
    <row r="376" customFormat="false" ht="23.25" hidden="false" customHeight="true" outlineLevel="0" collapsed="false">
      <c r="A376" s="69" t="s">
        <v>1052</v>
      </c>
      <c r="B376" s="13" t="s">
        <v>27</v>
      </c>
      <c r="C376" s="30" t="s">
        <v>1303</v>
      </c>
      <c r="D376" s="31" t="s">
        <v>1103</v>
      </c>
      <c r="E376" s="31" t="s">
        <v>98</v>
      </c>
      <c r="F376" s="31" t="s">
        <v>1278</v>
      </c>
      <c r="G376" s="31" t="s">
        <v>1279</v>
      </c>
      <c r="H376" s="31" t="s">
        <v>115</v>
      </c>
      <c r="I376" s="33" t="s">
        <v>219</v>
      </c>
      <c r="J376" s="70"/>
      <c r="K376" s="70"/>
    </row>
    <row r="377" customFormat="false" ht="23.25" hidden="false" customHeight="true" outlineLevel="0" collapsed="false">
      <c r="A377" s="69" t="s">
        <v>1052</v>
      </c>
      <c r="B377" s="13" t="s">
        <v>27</v>
      </c>
      <c r="C377" s="30" t="s">
        <v>1304</v>
      </c>
      <c r="D377" s="31" t="s">
        <v>1103</v>
      </c>
      <c r="E377" s="31" t="s">
        <v>98</v>
      </c>
      <c r="F377" s="31" t="s">
        <v>1278</v>
      </c>
      <c r="G377" s="31" t="s">
        <v>1279</v>
      </c>
      <c r="H377" s="31" t="s">
        <v>115</v>
      </c>
      <c r="I377" s="33" t="s">
        <v>116</v>
      </c>
      <c r="J377" s="70"/>
      <c r="K377" s="70"/>
    </row>
    <row r="378" customFormat="false" ht="23.25" hidden="false" customHeight="true" outlineLevel="0" collapsed="false">
      <c r="A378" s="69" t="s">
        <v>1052</v>
      </c>
      <c r="B378" s="13" t="s">
        <v>27</v>
      </c>
      <c r="C378" s="30" t="s">
        <v>1305</v>
      </c>
      <c r="D378" s="31" t="s">
        <v>1103</v>
      </c>
      <c r="E378" s="31" t="s">
        <v>98</v>
      </c>
      <c r="F378" s="31" t="s">
        <v>1278</v>
      </c>
      <c r="G378" s="31" t="s">
        <v>1279</v>
      </c>
      <c r="H378" s="31" t="s">
        <v>115</v>
      </c>
      <c r="I378" s="33" t="s">
        <v>132</v>
      </c>
      <c r="J378" s="70"/>
      <c r="K378" s="70"/>
    </row>
    <row r="379" customFormat="false" ht="23.25" hidden="false" customHeight="true" outlineLevel="0" collapsed="false">
      <c r="A379" s="69" t="s">
        <v>1052</v>
      </c>
      <c r="B379" s="13" t="s">
        <v>27</v>
      </c>
      <c r="C379" s="30" t="s">
        <v>1306</v>
      </c>
      <c r="D379" s="31" t="s">
        <v>1103</v>
      </c>
      <c r="E379" s="31" t="s">
        <v>98</v>
      </c>
      <c r="F379" s="31" t="s">
        <v>1278</v>
      </c>
      <c r="G379" s="31" t="s">
        <v>1279</v>
      </c>
      <c r="H379" s="31" t="s">
        <v>115</v>
      </c>
      <c r="I379" s="33" t="s">
        <v>149</v>
      </c>
      <c r="J379" s="70"/>
      <c r="K379" s="70"/>
    </row>
    <row r="380" customFormat="false" ht="23.25" hidden="false" customHeight="true" outlineLevel="0" collapsed="false">
      <c r="A380" s="69" t="s">
        <v>1052</v>
      </c>
      <c r="B380" s="13" t="s">
        <v>27</v>
      </c>
      <c r="C380" s="30" t="s">
        <v>1307</v>
      </c>
      <c r="D380" s="31" t="s">
        <v>1103</v>
      </c>
      <c r="E380" s="31" t="s">
        <v>98</v>
      </c>
      <c r="F380" s="31" t="s">
        <v>1278</v>
      </c>
      <c r="G380" s="31" t="s">
        <v>1279</v>
      </c>
      <c r="H380" s="31" t="s">
        <v>115</v>
      </c>
      <c r="I380" s="33" t="s">
        <v>143</v>
      </c>
      <c r="J380" s="70"/>
      <c r="K380" s="70"/>
    </row>
    <row r="381" customFormat="false" ht="23.25" hidden="false" customHeight="true" outlineLevel="0" collapsed="false">
      <c r="A381" s="69" t="s">
        <v>1052</v>
      </c>
      <c r="B381" s="13" t="s">
        <v>27</v>
      </c>
      <c r="C381" s="30" t="s">
        <v>1308</v>
      </c>
      <c r="D381" s="31" t="s">
        <v>1103</v>
      </c>
      <c r="E381" s="31" t="s">
        <v>98</v>
      </c>
      <c r="F381" s="31" t="s">
        <v>1278</v>
      </c>
      <c r="G381" s="31" t="s">
        <v>1279</v>
      </c>
      <c r="H381" s="31" t="s">
        <v>115</v>
      </c>
      <c r="I381" s="33" t="s">
        <v>279</v>
      </c>
      <c r="J381" s="70"/>
      <c r="K381" s="70"/>
    </row>
    <row r="382" customFormat="false" ht="23.25" hidden="false" customHeight="true" outlineLevel="0" collapsed="false">
      <c r="A382" s="69" t="s">
        <v>1052</v>
      </c>
      <c r="B382" s="13" t="s">
        <v>27</v>
      </c>
      <c r="C382" s="30" t="s">
        <v>1309</v>
      </c>
      <c r="D382" s="31" t="s">
        <v>1103</v>
      </c>
      <c r="E382" s="31" t="s">
        <v>98</v>
      </c>
      <c r="F382" s="31" t="s">
        <v>1278</v>
      </c>
      <c r="G382" s="31" t="s">
        <v>1279</v>
      </c>
      <c r="H382" s="31" t="s">
        <v>107</v>
      </c>
      <c r="I382" s="33" t="s">
        <v>108</v>
      </c>
      <c r="J382" s="70"/>
      <c r="K382" s="70"/>
    </row>
    <row r="383" customFormat="false" ht="23.25" hidden="false" customHeight="true" outlineLevel="0" collapsed="false">
      <c r="A383" s="69" t="s">
        <v>1052</v>
      </c>
      <c r="B383" s="13" t="s">
        <v>27</v>
      </c>
      <c r="C383" s="30" t="s">
        <v>1310</v>
      </c>
      <c r="D383" s="31" t="s">
        <v>1103</v>
      </c>
      <c r="E383" s="31" t="s">
        <v>98</v>
      </c>
      <c r="F383" s="31" t="s">
        <v>1278</v>
      </c>
      <c r="G383" s="31" t="s">
        <v>1279</v>
      </c>
      <c r="H383" s="31" t="s">
        <v>107</v>
      </c>
      <c r="I383" s="33" t="s">
        <v>277</v>
      </c>
      <c r="J383" s="70"/>
      <c r="K383" s="70"/>
    </row>
    <row r="384" customFormat="false" ht="23.25" hidden="false" customHeight="true" outlineLevel="0" collapsed="false">
      <c r="A384" s="69" t="s">
        <v>1052</v>
      </c>
      <c r="B384" s="13" t="s">
        <v>27</v>
      </c>
      <c r="C384" s="30" t="s">
        <v>1311</v>
      </c>
      <c r="D384" s="31" t="s">
        <v>1103</v>
      </c>
      <c r="E384" s="31" t="s">
        <v>98</v>
      </c>
      <c r="F384" s="31" t="s">
        <v>1312</v>
      </c>
      <c r="G384" s="31" t="s">
        <v>1313</v>
      </c>
      <c r="H384" s="31" t="s">
        <v>73</v>
      </c>
      <c r="I384" s="33" t="s">
        <v>121</v>
      </c>
      <c r="J384" s="70"/>
      <c r="K384" s="70"/>
    </row>
    <row r="385" customFormat="false" ht="23.25" hidden="false" customHeight="true" outlineLevel="0" collapsed="false">
      <c r="A385" s="69" t="s">
        <v>1052</v>
      </c>
      <c r="B385" s="13" t="s">
        <v>27</v>
      </c>
      <c r="C385" s="30" t="s">
        <v>1314</v>
      </c>
      <c r="D385" s="31" t="s">
        <v>1103</v>
      </c>
      <c r="E385" s="31" t="s">
        <v>98</v>
      </c>
      <c r="F385" s="31" t="s">
        <v>1312</v>
      </c>
      <c r="G385" s="31" t="s">
        <v>1313</v>
      </c>
      <c r="H385" s="31" t="s">
        <v>73</v>
      </c>
      <c r="I385" s="33" t="s">
        <v>259</v>
      </c>
      <c r="J385" s="70"/>
      <c r="K385" s="70"/>
    </row>
    <row r="386" customFormat="false" ht="23.25" hidden="false" customHeight="true" outlineLevel="0" collapsed="false">
      <c r="A386" s="69" t="s">
        <v>1052</v>
      </c>
      <c r="B386" s="13" t="s">
        <v>27</v>
      </c>
      <c r="C386" s="30" t="s">
        <v>1315</v>
      </c>
      <c r="D386" s="31" t="s">
        <v>1103</v>
      </c>
      <c r="E386" s="31" t="s">
        <v>98</v>
      </c>
      <c r="F386" s="31" t="s">
        <v>1312</v>
      </c>
      <c r="G386" s="31" t="s">
        <v>1313</v>
      </c>
      <c r="H386" s="31" t="s">
        <v>73</v>
      </c>
      <c r="I386" s="33" t="s">
        <v>302</v>
      </c>
      <c r="J386" s="70"/>
      <c r="K386" s="70"/>
    </row>
    <row r="387" customFormat="false" ht="23.25" hidden="false" customHeight="true" outlineLevel="0" collapsed="false">
      <c r="A387" s="69" t="s">
        <v>1052</v>
      </c>
      <c r="B387" s="13" t="s">
        <v>26</v>
      </c>
      <c r="C387" s="22" t="s">
        <v>1316</v>
      </c>
      <c r="D387" s="23" t="s">
        <v>1317</v>
      </c>
      <c r="E387" s="23" t="s">
        <v>98</v>
      </c>
      <c r="F387" s="23" t="s">
        <v>1045</v>
      </c>
      <c r="G387" s="23" t="s">
        <v>1046</v>
      </c>
      <c r="H387" s="23" t="s">
        <v>174</v>
      </c>
      <c r="I387" s="25" t="s">
        <v>245</v>
      </c>
      <c r="J387" s="70"/>
      <c r="K387" s="70"/>
    </row>
    <row r="388" customFormat="false" ht="23.25" hidden="false" customHeight="true" outlineLevel="0" collapsed="false">
      <c r="A388" s="69" t="s">
        <v>1052</v>
      </c>
      <c r="B388" s="13" t="s">
        <v>26</v>
      </c>
      <c r="C388" s="30" t="s">
        <v>1318</v>
      </c>
      <c r="D388" s="31" t="s">
        <v>1242</v>
      </c>
      <c r="E388" s="31" t="s">
        <v>98</v>
      </c>
      <c r="F388" s="31" t="s">
        <v>1319</v>
      </c>
      <c r="G388" s="31" t="s">
        <v>1320</v>
      </c>
      <c r="H388" s="31" t="s">
        <v>1068</v>
      </c>
      <c r="I388" s="33" t="s">
        <v>203</v>
      </c>
      <c r="J388" s="70"/>
      <c r="K388" s="70"/>
    </row>
    <row r="389" customFormat="false" ht="23.25" hidden="false" customHeight="true" outlineLevel="0" collapsed="false">
      <c r="A389" s="69" t="s">
        <v>1052</v>
      </c>
      <c r="B389" s="13" t="s">
        <v>26</v>
      </c>
      <c r="C389" s="30" t="s">
        <v>1321</v>
      </c>
      <c r="D389" s="31" t="s">
        <v>1322</v>
      </c>
      <c r="E389" s="31" t="s">
        <v>98</v>
      </c>
      <c r="F389" s="31" t="s">
        <v>1323</v>
      </c>
      <c r="G389" s="31" t="s">
        <v>1324</v>
      </c>
      <c r="H389" s="31" t="s">
        <v>85</v>
      </c>
      <c r="I389" s="33" t="s">
        <v>219</v>
      </c>
      <c r="J389" s="70"/>
      <c r="K389" s="70"/>
    </row>
    <row r="390" customFormat="false" ht="23.25" hidden="false" customHeight="true" outlineLevel="0" collapsed="false">
      <c r="A390" s="69" t="s">
        <v>1052</v>
      </c>
      <c r="B390" s="13" t="s">
        <v>26</v>
      </c>
      <c r="C390" s="30" t="s">
        <v>1325</v>
      </c>
      <c r="D390" s="31" t="s">
        <v>1322</v>
      </c>
      <c r="E390" s="31" t="s">
        <v>98</v>
      </c>
      <c r="F390" s="31" t="s">
        <v>1323</v>
      </c>
      <c r="G390" s="31" t="s">
        <v>1324</v>
      </c>
      <c r="H390" s="31" t="s">
        <v>85</v>
      </c>
      <c r="I390" s="33" t="s">
        <v>1132</v>
      </c>
      <c r="J390" s="70"/>
      <c r="K390" s="70"/>
    </row>
    <row r="391" customFormat="false" ht="23.25" hidden="false" customHeight="true" outlineLevel="0" collapsed="false">
      <c r="A391" s="69" t="s">
        <v>1052</v>
      </c>
      <c r="B391" s="13" t="s">
        <v>26</v>
      </c>
      <c r="C391" s="34" t="s">
        <v>1326</v>
      </c>
      <c r="D391" s="35" t="s">
        <v>1322</v>
      </c>
      <c r="E391" s="35" t="s">
        <v>98</v>
      </c>
      <c r="F391" s="35" t="s">
        <v>1323</v>
      </c>
      <c r="G391" s="35" t="s">
        <v>1324</v>
      </c>
      <c r="H391" s="35" t="s">
        <v>85</v>
      </c>
      <c r="I391" s="37" t="s">
        <v>108</v>
      </c>
      <c r="J391" s="70"/>
      <c r="K391" s="70"/>
    </row>
    <row r="395" customFormat="false" ht="13.5" hidden="false" customHeight="true" outlineLevel="0" collapsed="false">
      <c r="A395" s="57" t="s">
        <v>45</v>
      </c>
      <c r="B395" s="45" t="s">
        <v>1</v>
      </c>
      <c r="C395" s="18" t="s">
        <v>47</v>
      </c>
      <c r="D395" s="19" t="s">
        <v>1051</v>
      </c>
      <c r="E395" s="19" t="s">
        <v>51</v>
      </c>
      <c r="F395" s="19" t="s">
        <v>52</v>
      </c>
      <c r="G395" s="19" t="s">
        <v>53</v>
      </c>
      <c r="H395" s="21" t="s">
        <v>54</v>
      </c>
      <c r="I395" s="68"/>
      <c r="J395" s="68"/>
      <c r="K395" s="68"/>
    </row>
    <row r="396" customFormat="false" ht="23.25" hidden="false" customHeight="true" outlineLevel="0" collapsed="false">
      <c r="A396" s="69" t="s">
        <v>1327</v>
      </c>
      <c r="B396" s="13" t="s">
        <v>36</v>
      </c>
      <c r="C396" s="22" t="s">
        <v>1328</v>
      </c>
      <c r="D396" s="23" t="s">
        <v>1329</v>
      </c>
      <c r="E396" s="23" t="s">
        <v>1330</v>
      </c>
      <c r="F396" s="23" t="s">
        <v>1331</v>
      </c>
      <c r="G396" s="23" t="s">
        <v>1062</v>
      </c>
      <c r="H396" s="25" t="s">
        <v>121</v>
      </c>
      <c r="I396" s="70"/>
      <c r="J396" s="70"/>
      <c r="K396" s="70"/>
    </row>
    <row r="397" customFormat="false" ht="23.25" hidden="false" customHeight="true" outlineLevel="0" collapsed="false">
      <c r="A397" s="69" t="s">
        <v>1327</v>
      </c>
      <c r="B397" s="13" t="s">
        <v>34</v>
      </c>
      <c r="C397" s="22" t="s">
        <v>1332</v>
      </c>
      <c r="D397" s="23" t="s">
        <v>1333</v>
      </c>
      <c r="E397" s="23" t="s">
        <v>1334</v>
      </c>
      <c r="F397" s="23" t="s">
        <v>1335</v>
      </c>
      <c r="G397" s="23" t="s">
        <v>1090</v>
      </c>
      <c r="H397" s="25" t="s">
        <v>108</v>
      </c>
      <c r="I397" s="70"/>
      <c r="J397" s="70"/>
      <c r="K397" s="70"/>
    </row>
    <row r="398" customFormat="false" ht="23.25" hidden="false" customHeight="true" outlineLevel="0" collapsed="false">
      <c r="A398" s="69" t="s">
        <v>1327</v>
      </c>
      <c r="B398" s="13" t="s">
        <v>27</v>
      </c>
      <c r="C398" s="22" t="s">
        <v>1336</v>
      </c>
      <c r="D398" s="23" t="s">
        <v>1337</v>
      </c>
      <c r="E398" s="23" t="s">
        <v>1338</v>
      </c>
      <c r="F398" s="23" t="s">
        <v>1339</v>
      </c>
      <c r="G398" s="23" t="s">
        <v>1068</v>
      </c>
      <c r="H398" s="25" t="s">
        <v>245</v>
      </c>
      <c r="I398" s="70"/>
      <c r="J398" s="70"/>
      <c r="K398" s="70"/>
    </row>
    <row r="399" customFormat="false" ht="23.25" hidden="false" customHeight="true" outlineLevel="0" collapsed="false">
      <c r="A399" s="69" t="s">
        <v>1327</v>
      </c>
      <c r="B399" s="13" t="s">
        <v>32</v>
      </c>
      <c r="C399" s="22" t="s">
        <v>1340</v>
      </c>
      <c r="D399" s="23" t="s">
        <v>437</v>
      </c>
      <c r="E399" s="23" t="s">
        <v>1341</v>
      </c>
      <c r="F399" s="23" t="s">
        <v>1342</v>
      </c>
      <c r="G399" s="23" t="s">
        <v>1062</v>
      </c>
      <c r="H399" s="25" t="s">
        <v>340</v>
      </c>
      <c r="I399" s="70"/>
      <c r="J399" s="70"/>
      <c r="K399" s="70"/>
    </row>
    <row r="400" customFormat="false" ht="23.25" hidden="false" customHeight="true" outlineLevel="0" collapsed="false">
      <c r="A400" s="69" t="s">
        <v>1327</v>
      </c>
      <c r="B400" s="13" t="s">
        <v>30</v>
      </c>
      <c r="C400" s="22" t="s">
        <v>1343</v>
      </c>
      <c r="D400" s="23" t="s">
        <v>1344</v>
      </c>
      <c r="E400" s="23" t="s">
        <v>1345</v>
      </c>
      <c r="F400" s="23" t="s">
        <v>1346</v>
      </c>
      <c r="G400" s="23" t="s">
        <v>115</v>
      </c>
      <c r="H400" s="25" t="s">
        <v>279</v>
      </c>
      <c r="I400" s="70"/>
      <c r="J400" s="70"/>
      <c r="K400" s="70"/>
    </row>
    <row r="401" customFormat="false" ht="23.25" hidden="false" customHeight="true" outlineLevel="0" collapsed="false">
      <c r="A401" s="69" t="s">
        <v>1327</v>
      </c>
      <c r="B401" s="13" t="s">
        <v>37</v>
      </c>
      <c r="C401" s="22" t="s">
        <v>1347</v>
      </c>
      <c r="D401" s="23" t="s">
        <v>1348</v>
      </c>
      <c r="E401" s="23" t="s">
        <v>1349</v>
      </c>
      <c r="F401" s="23" t="s">
        <v>1350</v>
      </c>
      <c r="G401" s="23" t="s">
        <v>142</v>
      </c>
      <c r="H401" s="25" t="s">
        <v>247</v>
      </c>
      <c r="I401" s="70"/>
      <c r="J401" s="70"/>
      <c r="K401" s="70"/>
    </row>
    <row r="402" customFormat="false" ht="23.25" hidden="false" customHeight="true" outlineLevel="0" collapsed="false">
      <c r="A402" s="69" t="s">
        <v>1327</v>
      </c>
      <c r="B402" s="13" t="s">
        <v>37</v>
      </c>
      <c r="C402" s="22" t="s">
        <v>1351</v>
      </c>
      <c r="D402" s="23" t="s">
        <v>1352</v>
      </c>
      <c r="E402" s="23" t="s">
        <v>1349</v>
      </c>
      <c r="F402" s="23" t="s">
        <v>1350</v>
      </c>
      <c r="G402" s="23" t="s">
        <v>1062</v>
      </c>
      <c r="H402" s="25" t="s">
        <v>1164</v>
      </c>
      <c r="I402" s="70"/>
      <c r="J402" s="70"/>
      <c r="K402" s="70"/>
    </row>
    <row r="403" customFormat="false" ht="23.25" hidden="false" customHeight="true" outlineLevel="0" collapsed="false">
      <c r="A403" s="69" t="s">
        <v>1327</v>
      </c>
      <c r="B403" s="13" t="s">
        <v>37</v>
      </c>
      <c r="C403" s="22" t="s">
        <v>1353</v>
      </c>
      <c r="D403" s="23" t="s">
        <v>1354</v>
      </c>
      <c r="E403" s="23" t="s">
        <v>1349</v>
      </c>
      <c r="F403" s="23" t="s">
        <v>1350</v>
      </c>
      <c r="G403" s="23" t="s">
        <v>1062</v>
      </c>
      <c r="H403" s="25" t="s">
        <v>267</v>
      </c>
      <c r="I403" s="70"/>
      <c r="J403" s="70"/>
      <c r="K403" s="70"/>
    </row>
    <row r="404" customFormat="false" ht="23.25" hidden="false" customHeight="true" outlineLevel="0" collapsed="false">
      <c r="A404" s="69" t="s">
        <v>1327</v>
      </c>
      <c r="B404" s="13" t="s">
        <v>26</v>
      </c>
      <c r="C404" s="22" t="s">
        <v>1355</v>
      </c>
      <c r="D404" s="23" t="s">
        <v>1356</v>
      </c>
      <c r="E404" s="23" t="s">
        <v>1357</v>
      </c>
      <c r="F404" s="23" t="s">
        <v>1358</v>
      </c>
      <c r="G404" s="23" t="s">
        <v>1090</v>
      </c>
      <c r="H404" s="25" t="s">
        <v>130</v>
      </c>
      <c r="I404" s="70"/>
      <c r="J404" s="70"/>
      <c r="K404" s="70"/>
    </row>
    <row r="405" customFormat="false" ht="23.25" hidden="false" customHeight="true" outlineLevel="0" collapsed="false">
      <c r="A405" s="69" t="s">
        <v>1327</v>
      </c>
      <c r="B405" s="13" t="s">
        <v>34</v>
      </c>
      <c r="C405" s="22" t="s">
        <v>1359</v>
      </c>
      <c r="D405" s="23" t="s">
        <v>1360</v>
      </c>
      <c r="E405" s="23" t="s">
        <v>1361</v>
      </c>
      <c r="F405" s="23" t="s">
        <v>1362</v>
      </c>
      <c r="G405" s="23" t="s">
        <v>1363</v>
      </c>
      <c r="H405" s="25" t="s">
        <v>175</v>
      </c>
      <c r="I405" s="70"/>
      <c r="J405" s="70"/>
      <c r="K405" s="70"/>
    </row>
    <row r="406" customFormat="false" ht="23.25" hidden="false" customHeight="true" outlineLevel="0" collapsed="false">
      <c r="A406" s="69" t="s">
        <v>1327</v>
      </c>
      <c r="B406" s="13" t="s">
        <v>34</v>
      </c>
      <c r="C406" s="22" t="s">
        <v>1364</v>
      </c>
      <c r="D406" s="23" t="s">
        <v>1365</v>
      </c>
      <c r="E406" s="23" t="s">
        <v>1334</v>
      </c>
      <c r="F406" s="23" t="s">
        <v>1335</v>
      </c>
      <c r="G406" s="23" t="s">
        <v>1363</v>
      </c>
      <c r="H406" s="25" t="s">
        <v>108</v>
      </c>
      <c r="I406" s="70"/>
      <c r="J406" s="70"/>
      <c r="K406" s="70"/>
    </row>
    <row r="407" customFormat="false" ht="23.25" hidden="false" customHeight="true" outlineLevel="0" collapsed="false">
      <c r="A407" s="69" t="s">
        <v>1327</v>
      </c>
      <c r="B407" s="13" t="s">
        <v>36</v>
      </c>
      <c r="C407" s="22" t="s">
        <v>1366</v>
      </c>
      <c r="D407" s="23" t="s">
        <v>1365</v>
      </c>
      <c r="E407" s="23" t="s">
        <v>1367</v>
      </c>
      <c r="F407" s="23" t="s">
        <v>1368</v>
      </c>
      <c r="G407" s="23" t="s">
        <v>1363</v>
      </c>
      <c r="H407" s="25" t="s">
        <v>108</v>
      </c>
      <c r="I407" s="70"/>
      <c r="J407" s="70"/>
      <c r="K407" s="70"/>
    </row>
    <row r="408" customFormat="false" ht="23.25" hidden="false" customHeight="true" outlineLevel="0" collapsed="false">
      <c r="A408" s="69" t="s">
        <v>1327</v>
      </c>
      <c r="B408" s="13" t="s">
        <v>36</v>
      </c>
      <c r="C408" s="22" t="s">
        <v>1369</v>
      </c>
      <c r="D408" s="23" t="s">
        <v>1365</v>
      </c>
      <c r="E408" s="23" t="s">
        <v>1370</v>
      </c>
      <c r="F408" s="23" t="s">
        <v>1371</v>
      </c>
      <c r="G408" s="23" t="s">
        <v>1363</v>
      </c>
      <c r="H408" s="25" t="s">
        <v>108</v>
      </c>
      <c r="I408" s="70"/>
      <c r="J408" s="70"/>
      <c r="K408" s="70"/>
    </row>
    <row r="409" customFormat="false" ht="23.25" hidden="false" customHeight="true" outlineLevel="0" collapsed="false">
      <c r="A409" s="69" t="s">
        <v>1327</v>
      </c>
      <c r="B409" s="13" t="s">
        <v>37</v>
      </c>
      <c r="C409" s="22" t="s">
        <v>1372</v>
      </c>
      <c r="D409" s="23" t="s">
        <v>1365</v>
      </c>
      <c r="E409" s="23" t="s">
        <v>1373</v>
      </c>
      <c r="F409" s="23" t="s">
        <v>1374</v>
      </c>
      <c r="G409" s="23" t="s">
        <v>1363</v>
      </c>
      <c r="H409" s="25" t="s">
        <v>108</v>
      </c>
      <c r="I409" s="70"/>
      <c r="J409" s="70"/>
      <c r="K409" s="70"/>
    </row>
    <row r="410" customFormat="false" ht="23.25" hidden="false" customHeight="true" outlineLevel="0" collapsed="false">
      <c r="A410" s="69" t="s">
        <v>1327</v>
      </c>
      <c r="B410" s="13" t="s">
        <v>37</v>
      </c>
      <c r="C410" s="22" t="s">
        <v>1375</v>
      </c>
      <c r="D410" s="23" t="s">
        <v>1365</v>
      </c>
      <c r="E410" s="23" t="s">
        <v>1376</v>
      </c>
      <c r="F410" s="23" t="s">
        <v>1377</v>
      </c>
      <c r="G410" s="23" t="s">
        <v>1363</v>
      </c>
      <c r="H410" s="25" t="s">
        <v>108</v>
      </c>
      <c r="I410" s="70"/>
      <c r="J410" s="70"/>
      <c r="K410" s="70"/>
    </row>
    <row r="411" customFormat="false" ht="23.25" hidden="false" customHeight="true" outlineLevel="0" collapsed="false">
      <c r="A411" s="69" t="s">
        <v>1327</v>
      </c>
      <c r="B411" s="13" t="s">
        <v>33</v>
      </c>
      <c r="C411" s="22" t="s">
        <v>1378</v>
      </c>
      <c r="D411" s="23" t="s">
        <v>1379</v>
      </c>
      <c r="E411" s="23" t="s">
        <v>1380</v>
      </c>
      <c r="F411" s="23" t="s">
        <v>1381</v>
      </c>
      <c r="G411" s="23" t="s">
        <v>1062</v>
      </c>
      <c r="H411" s="25" t="s">
        <v>271</v>
      </c>
      <c r="I411" s="70"/>
      <c r="J411" s="70"/>
      <c r="K411" s="70"/>
    </row>
    <row r="412" customFormat="false" ht="23.25" hidden="false" customHeight="true" outlineLevel="0" collapsed="false">
      <c r="A412" s="69" t="s">
        <v>1327</v>
      </c>
      <c r="B412" s="13" t="s">
        <v>33</v>
      </c>
      <c r="C412" s="22" t="s">
        <v>1382</v>
      </c>
      <c r="D412" s="23" t="s">
        <v>1379</v>
      </c>
      <c r="E412" s="23" t="s">
        <v>1380</v>
      </c>
      <c r="F412" s="23" t="s">
        <v>1381</v>
      </c>
      <c r="G412" s="23" t="s">
        <v>1062</v>
      </c>
      <c r="H412" s="25" t="s">
        <v>245</v>
      </c>
      <c r="I412" s="70"/>
      <c r="J412" s="70"/>
      <c r="K412" s="70"/>
    </row>
    <row r="413" customFormat="false" ht="23.25" hidden="false" customHeight="true" outlineLevel="0" collapsed="false">
      <c r="A413" s="69" t="s">
        <v>1327</v>
      </c>
      <c r="B413" s="13" t="s">
        <v>33</v>
      </c>
      <c r="C413" s="22" t="s">
        <v>1383</v>
      </c>
      <c r="D413" s="23" t="s">
        <v>1379</v>
      </c>
      <c r="E413" s="23" t="s">
        <v>1380</v>
      </c>
      <c r="F413" s="23" t="s">
        <v>1381</v>
      </c>
      <c r="G413" s="23" t="s">
        <v>1062</v>
      </c>
      <c r="H413" s="25" t="s">
        <v>271</v>
      </c>
      <c r="I413" s="70"/>
      <c r="J413" s="70"/>
      <c r="K413" s="70"/>
    </row>
    <row r="414" customFormat="false" ht="23.25" hidden="false" customHeight="true" outlineLevel="0" collapsed="false">
      <c r="A414" s="69" t="s">
        <v>1327</v>
      </c>
      <c r="B414" s="13" t="s">
        <v>37</v>
      </c>
      <c r="C414" s="22" t="s">
        <v>1384</v>
      </c>
      <c r="D414" s="23" t="s">
        <v>1385</v>
      </c>
      <c r="E414" s="23" t="s">
        <v>1386</v>
      </c>
      <c r="F414" s="23" t="s">
        <v>1387</v>
      </c>
      <c r="G414" s="23" t="s">
        <v>1068</v>
      </c>
      <c r="H414" s="25" t="s">
        <v>271</v>
      </c>
      <c r="I414" s="70"/>
      <c r="J414" s="70"/>
      <c r="K414" s="70"/>
    </row>
    <row r="415" customFormat="false" ht="23.25" hidden="false" customHeight="true" outlineLevel="0" collapsed="false">
      <c r="A415" s="69" t="s">
        <v>1327</v>
      </c>
      <c r="B415" s="13" t="s">
        <v>36</v>
      </c>
      <c r="C415" s="22" t="s">
        <v>1388</v>
      </c>
      <c r="D415" s="23" t="s">
        <v>1389</v>
      </c>
      <c r="E415" s="23" t="s">
        <v>1390</v>
      </c>
      <c r="F415" s="23" t="s">
        <v>1391</v>
      </c>
      <c r="G415" s="23" t="s">
        <v>1363</v>
      </c>
      <c r="H415" s="25" t="s">
        <v>108</v>
      </c>
      <c r="I415" s="70"/>
      <c r="J415" s="70"/>
      <c r="K415" s="70"/>
    </row>
    <row r="416" customFormat="false" ht="23.25" hidden="false" customHeight="true" outlineLevel="0" collapsed="false">
      <c r="A416" s="69" t="s">
        <v>1327</v>
      </c>
      <c r="B416" s="13" t="s">
        <v>36</v>
      </c>
      <c r="C416" s="22" t="s">
        <v>1392</v>
      </c>
      <c r="D416" s="23" t="s">
        <v>1389</v>
      </c>
      <c r="E416" s="23" t="s">
        <v>1390</v>
      </c>
      <c r="F416" s="23" t="s">
        <v>1391</v>
      </c>
      <c r="G416" s="23" t="s">
        <v>1363</v>
      </c>
      <c r="H416" s="25" t="s">
        <v>184</v>
      </c>
      <c r="I416" s="70"/>
      <c r="J416" s="70"/>
      <c r="K416" s="70"/>
    </row>
    <row r="417" customFormat="false" ht="23.25" hidden="false" customHeight="true" outlineLevel="0" collapsed="false">
      <c r="A417" s="69" t="s">
        <v>1327</v>
      </c>
      <c r="B417" s="13" t="s">
        <v>33</v>
      </c>
      <c r="C417" s="22" t="s">
        <v>1393</v>
      </c>
      <c r="D417" s="23" t="s">
        <v>1394</v>
      </c>
      <c r="E417" s="23" t="s">
        <v>1395</v>
      </c>
      <c r="F417" s="23" t="s">
        <v>1396</v>
      </c>
      <c r="G417" s="23" t="s">
        <v>73</v>
      </c>
      <c r="H417" s="25" t="s">
        <v>287</v>
      </c>
      <c r="I417" s="70"/>
      <c r="J417" s="70"/>
      <c r="K417" s="70"/>
    </row>
    <row r="418" customFormat="false" ht="23.25" hidden="false" customHeight="true" outlineLevel="0" collapsed="false">
      <c r="A418" s="69" t="s">
        <v>1327</v>
      </c>
      <c r="B418" s="13" t="s">
        <v>28</v>
      </c>
      <c r="C418" s="22" t="s">
        <v>1397</v>
      </c>
      <c r="D418" s="23" t="s">
        <v>1238</v>
      </c>
      <c r="E418" s="23" t="s">
        <v>1398</v>
      </c>
      <c r="F418" s="23" t="s">
        <v>1399</v>
      </c>
      <c r="G418" s="23" t="s">
        <v>73</v>
      </c>
      <c r="H418" s="25" t="s">
        <v>267</v>
      </c>
      <c r="I418" s="70"/>
      <c r="J418" s="70"/>
      <c r="K418" s="70"/>
    </row>
    <row r="419" customFormat="false" ht="23.25" hidden="false" customHeight="true" outlineLevel="0" collapsed="false">
      <c r="A419" s="69" t="s">
        <v>1327</v>
      </c>
      <c r="B419" s="13" t="s">
        <v>36</v>
      </c>
      <c r="C419" s="22" t="s">
        <v>1400</v>
      </c>
      <c r="D419" s="23" t="s">
        <v>1401</v>
      </c>
      <c r="E419" s="23" t="s">
        <v>1402</v>
      </c>
      <c r="F419" s="23" t="s">
        <v>1403</v>
      </c>
      <c r="G419" s="23" t="s">
        <v>1068</v>
      </c>
      <c r="H419" s="25" t="s">
        <v>1069</v>
      </c>
      <c r="I419" s="70"/>
      <c r="J419" s="70"/>
      <c r="K419" s="70"/>
    </row>
    <row r="420" customFormat="false" ht="23.25" hidden="false" customHeight="true" outlineLevel="0" collapsed="false">
      <c r="A420" s="69" t="s">
        <v>1327</v>
      </c>
      <c r="B420" s="13" t="s">
        <v>28</v>
      </c>
      <c r="C420" s="22" t="s">
        <v>1404</v>
      </c>
      <c r="D420" s="23" t="s">
        <v>1405</v>
      </c>
      <c r="E420" s="23" t="s">
        <v>1406</v>
      </c>
      <c r="F420" s="23" t="s">
        <v>1407</v>
      </c>
      <c r="G420" s="23" t="s">
        <v>1062</v>
      </c>
      <c r="H420" s="25" t="s">
        <v>124</v>
      </c>
      <c r="I420" s="70"/>
      <c r="J420" s="70"/>
      <c r="K420" s="70"/>
    </row>
    <row r="421" customFormat="false" ht="23.25" hidden="false" customHeight="true" outlineLevel="0" collapsed="false">
      <c r="A421" s="69" t="s">
        <v>1327</v>
      </c>
      <c r="B421" s="13" t="s">
        <v>28</v>
      </c>
      <c r="C421" s="22" t="s">
        <v>1408</v>
      </c>
      <c r="D421" s="23" t="s">
        <v>1405</v>
      </c>
      <c r="E421" s="23" t="s">
        <v>1406</v>
      </c>
      <c r="F421" s="23" t="s">
        <v>1407</v>
      </c>
      <c r="G421" s="23" t="s">
        <v>1062</v>
      </c>
      <c r="H421" s="25" t="s">
        <v>101</v>
      </c>
      <c r="I421" s="70"/>
      <c r="J421" s="70"/>
      <c r="K421" s="70"/>
    </row>
    <row r="422" customFormat="false" ht="23.25" hidden="false" customHeight="true" outlineLevel="0" collapsed="false">
      <c r="A422" s="69" t="s">
        <v>1327</v>
      </c>
      <c r="B422" s="13" t="s">
        <v>28</v>
      </c>
      <c r="C422" s="22" t="s">
        <v>1409</v>
      </c>
      <c r="D422" s="23" t="s">
        <v>1405</v>
      </c>
      <c r="E422" s="23" t="s">
        <v>1406</v>
      </c>
      <c r="F422" s="23" t="s">
        <v>1407</v>
      </c>
      <c r="G422" s="23" t="s">
        <v>1062</v>
      </c>
      <c r="H422" s="25" t="s">
        <v>119</v>
      </c>
      <c r="I422" s="70"/>
      <c r="J422" s="70"/>
      <c r="K422" s="70"/>
    </row>
    <row r="423" customFormat="false" ht="23.25" hidden="false" customHeight="true" outlineLevel="0" collapsed="false">
      <c r="A423" s="69" t="s">
        <v>1327</v>
      </c>
      <c r="B423" s="13" t="s">
        <v>28</v>
      </c>
      <c r="C423" s="22" t="s">
        <v>1410</v>
      </c>
      <c r="D423" s="23" t="s">
        <v>1405</v>
      </c>
      <c r="E423" s="23" t="s">
        <v>1406</v>
      </c>
      <c r="F423" s="23" t="s">
        <v>1407</v>
      </c>
      <c r="G423" s="23" t="s">
        <v>1062</v>
      </c>
      <c r="H423" s="25" t="s">
        <v>105</v>
      </c>
      <c r="I423" s="70"/>
      <c r="J423" s="70"/>
      <c r="K423" s="70"/>
    </row>
    <row r="424" customFormat="false" ht="23.25" hidden="false" customHeight="true" outlineLevel="0" collapsed="false">
      <c r="A424" s="69" t="s">
        <v>1327</v>
      </c>
      <c r="B424" s="13" t="s">
        <v>28</v>
      </c>
      <c r="C424" s="22" t="s">
        <v>1411</v>
      </c>
      <c r="D424" s="23" t="s">
        <v>1405</v>
      </c>
      <c r="E424" s="23" t="s">
        <v>1406</v>
      </c>
      <c r="F424" s="23" t="s">
        <v>1407</v>
      </c>
      <c r="G424" s="23" t="s">
        <v>1062</v>
      </c>
      <c r="H424" s="25" t="s">
        <v>113</v>
      </c>
      <c r="I424" s="70"/>
      <c r="J424" s="70"/>
      <c r="K424" s="70"/>
    </row>
    <row r="425" customFormat="false" ht="23.25" hidden="false" customHeight="true" outlineLevel="0" collapsed="false">
      <c r="A425" s="69" t="s">
        <v>1327</v>
      </c>
      <c r="B425" s="13" t="s">
        <v>28</v>
      </c>
      <c r="C425" s="22" t="s">
        <v>1412</v>
      </c>
      <c r="D425" s="23" t="s">
        <v>1405</v>
      </c>
      <c r="E425" s="23" t="s">
        <v>1406</v>
      </c>
      <c r="F425" s="23" t="s">
        <v>1407</v>
      </c>
      <c r="G425" s="23" t="s">
        <v>1062</v>
      </c>
      <c r="H425" s="25" t="s">
        <v>134</v>
      </c>
      <c r="I425" s="70"/>
      <c r="J425" s="70"/>
      <c r="K425" s="70"/>
    </row>
    <row r="426" customFormat="false" ht="23.25" hidden="false" customHeight="true" outlineLevel="0" collapsed="false">
      <c r="A426" s="69" t="s">
        <v>1327</v>
      </c>
      <c r="B426" s="13" t="s">
        <v>28</v>
      </c>
      <c r="C426" s="22" t="s">
        <v>1413</v>
      </c>
      <c r="D426" s="23" t="s">
        <v>1405</v>
      </c>
      <c r="E426" s="23" t="s">
        <v>1406</v>
      </c>
      <c r="F426" s="23" t="s">
        <v>1407</v>
      </c>
      <c r="G426" s="23" t="s">
        <v>1062</v>
      </c>
      <c r="H426" s="25" t="s">
        <v>126</v>
      </c>
      <c r="I426" s="70"/>
      <c r="J426" s="70"/>
      <c r="K426" s="70"/>
    </row>
    <row r="427" customFormat="false" ht="23.25" hidden="false" customHeight="true" outlineLevel="0" collapsed="false">
      <c r="A427" s="69" t="s">
        <v>1327</v>
      </c>
      <c r="B427" s="13" t="s">
        <v>33</v>
      </c>
      <c r="C427" s="22" t="s">
        <v>1414</v>
      </c>
      <c r="D427" s="23" t="s">
        <v>1415</v>
      </c>
      <c r="E427" s="23" t="s">
        <v>1416</v>
      </c>
      <c r="F427" s="23" t="s">
        <v>1417</v>
      </c>
      <c r="G427" s="23" t="s">
        <v>174</v>
      </c>
      <c r="H427" s="25" t="s">
        <v>245</v>
      </c>
      <c r="I427" s="70"/>
      <c r="J427" s="70"/>
      <c r="K427" s="70"/>
    </row>
    <row r="428" customFormat="false" ht="23.25" hidden="false" customHeight="true" outlineLevel="0" collapsed="false">
      <c r="A428" s="69" t="s">
        <v>1327</v>
      </c>
      <c r="B428" s="13" t="s">
        <v>33</v>
      </c>
      <c r="C428" s="22" t="s">
        <v>1418</v>
      </c>
      <c r="D428" s="23" t="s">
        <v>1419</v>
      </c>
      <c r="E428" s="23" t="s">
        <v>1420</v>
      </c>
      <c r="F428" s="23" t="s">
        <v>1421</v>
      </c>
      <c r="G428" s="23" t="s">
        <v>452</v>
      </c>
      <c r="H428" s="25" t="s">
        <v>739</v>
      </c>
      <c r="I428" s="70"/>
      <c r="J428" s="70"/>
      <c r="K428" s="70"/>
    </row>
    <row r="429" customFormat="false" ht="23.25" hidden="false" customHeight="true" outlineLevel="0" collapsed="false">
      <c r="A429" s="69" t="s">
        <v>1327</v>
      </c>
      <c r="B429" s="13" t="s">
        <v>33</v>
      </c>
      <c r="C429" s="22" t="s">
        <v>1422</v>
      </c>
      <c r="D429" s="23" t="s">
        <v>1423</v>
      </c>
      <c r="E429" s="23" t="s">
        <v>1380</v>
      </c>
      <c r="F429" s="23" t="s">
        <v>1381</v>
      </c>
      <c r="G429" s="23" t="s">
        <v>1062</v>
      </c>
      <c r="H429" s="25" t="s">
        <v>271</v>
      </c>
      <c r="I429" s="70"/>
      <c r="J429" s="70"/>
      <c r="K429" s="70"/>
    </row>
    <row r="430" customFormat="false" ht="23.25" hidden="false" customHeight="true" outlineLevel="0" collapsed="false">
      <c r="A430" s="69" t="s">
        <v>1327</v>
      </c>
      <c r="B430" s="13" t="s">
        <v>33</v>
      </c>
      <c r="C430" s="22" t="s">
        <v>1424</v>
      </c>
      <c r="D430" s="23" t="s">
        <v>1423</v>
      </c>
      <c r="E430" s="23" t="s">
        <v>1380</v>
      </c>
      <c r="F430" s="23" t="s">
        <v>1381</v>
      </c>
      <c r="G430" s="23" t="s">
        <v>1062</v>
      </c>
      <c r="H430" s="25" t="s">
        <v>271</v>
      </c>
      <c r="I430" s="70"/>
      <c r="J430" s="70"/>
      <c r="K430" s="70"/>
    </row>
    <row r="431" customFormat="false" ht="23.25" hidden="false" customHeight="true" outlineLevel="0" collapsed="false">
      <c r="A431" s="69" t="s">
        <v>1327</v>
      </c>
      <c r="B431" s="13" t="s">
        <v>33</v>
      </c>
      <c r="C431" s="22" t="s">
        <v>1425</v>
      </c>
      <c r="D431" s="23" t="s">
        <v>317</v>
      </c>
      <c r="E431" s="23" t="s">
        <v>1426</v>
      </c>
      <c r="F431" s="23" t="s">
        <v>1427</v>
      </c>
      <c r="G431" s="23" t="s">
        <v>1068</v>
      </c>
      <c r="H431" s="25" t="s">
        <v>1236</v>
      </c>
      <c r="I431" s="70"/>
      <c r="J431" s="70"/>
      <c r="K431" s="70"/>
    </row>
    <row r="432" customFormat="false" ht="23.25" hidden="false" customHeight="true" outlineLevel="0" collapsed="false">
      <c r="A432" s="69" t="s">
        <v>1327</v>
      </c>
      <c r="B432" s="13" t="s">
        <v>27</v>
      </c>
      <c r="C432" s="22" t="s">
        <v>1428</v>
      </c>
      <c r="D432" s="23" t="s">
        <v>1429</v>
      </c>
      <c r="E432" s="23" t="s">
        <v>563</v>
      </c>
      <c r="F432" s="23" t="s">
        <v>564</v>
      </c>
      <c r="G432" s="23" t="s">
        <v>174</v>
      </c>
      <c r="H432" s="25" t="s">
        <v>245</v>
      </c>
      <c r="I432" s="70"/>
      <c r="J432" s="70"/>
      <c r="K432" s="70"/>
    </row>
    <row r="433" customFormat="false" ht="23.25" hidden="false" customHeight="true" outlineLevel="0" collapsed="false">
      <c r="A433" s="69" t="s">
        <v>1327</v>
      </c>
      <c r="B433" s="13" t="s">
        <v>33</v>
      </c>
      <c r="C433" s="22" t="s">
        <v>1430</v>
      </c>
      <c r="D433" s="23" t="s">
        <v>1431</v>
      </c>
      <c r="E433" s="23" t="s">
        <v>1426</v>
      </c>
      <c r="F433" s="23" t="s">
        <v>1427</v>
      </c>
      <c r="G433" s="23" t="s">
        <v>1062</v>
      </c>
      <c r="H433" s="25" t="s">
        <v>1175</v>
      </c>
      <c r="I433" s="70"/>
      <c r="J433" s="70"/>
      <c r="K433" s="70"/>
    </row>
    <row r="434" customFormat="false" ht="23.25" hidden="false" customHeight="true" outlineLevel="0" collapsed="false">
      <c r="A434" s="69" t="s">
        <v>1327</v>
      </c>
      <c r="B434" s="13" t="s">
        <v>37</v>
      </c>
      <c r="C434" s="22" t="s">
        <v>1432</v>
      </c>
      <c r="D434" s="23" t="s">
        <v>1433</v>
      </c>
      <c r="E434" s="23" t="s">
        <v>1434</v>
      </c>
      <c r="F434" s="23" t="s">
        <v>1435</v>
      </c>
      <c r="G434" s="23" t="s">
        <v>1363</v>
      </c>
      <c r="H434" s="25" t="s">
        <v>277</v>
      </c>
      <c r="I434" s="70"/>
      <c r="J434" s="70"/>
      <c r="K434" s="70"/>
    </row>
    <row r="435" customFormat="false" ht="23.25" hidden="false" customHeight="true" outlineLevel="0" collapsed="false">
      <c r="A435" s="69" t="s">
        <v>1327</v>
      </c>
      <c r="B435" s="13" t="s">
        <v>37</v>
      </c>
      <c r="C435" s="22" t="s">
        <v>1436</v>
      </c>
      <c r="D435" s="23" t="s">
        <v>1433</v>
      </c>
      <c r="E435" s="23" t="s">
        <v>1437</v>
      </c>
      <c r="F435" s="23" t="s">
        <v>1438</v>
      </c>
      <c r="G435" s="23" t="s">
        <v>1363</v>
      </c>
      <c r="H435" s="25" t="s">
        <v>277</v>
      </c>
      <c r="I435" s="70"/>
      <c r="J435" s="70"/>
      <c r="K435" s="70"/>
    </row>
    <row r="436" customFormat="false" ht="23.25" hidden="false" customHeight="true" outlineLevel="0" collapsed="false">
      <c r="A436" s="69" t="s">
        <v>1327</v>
      </c>
      <c r="B436" s="13" t="s">
        <v>37</v>
      </c>
      <c r="C436" s="22" t="s">
        <v>1439</v>
      </c>
      <c r="D436" s="23" t="s">
        <v>1433</v>
      </c>
      <c r="E436" s="23" t="s">
        <v>1440</v>
      </c>
      <c r="F436" s="23" t="s">
        <v>1441</v>
      </c>
      <c r="G436" s="23" t="s">
        <v>1363</v>
      </c>
      <c r="H436" s="25" t="s">
        <v>277</v>
      </c>
      <c r="I436" s="70"/>
      <c r="J436" s="70"/>
      <c r="K436" s="70"/>
    </row>
    <row r="437" customFormat="false" ht="23.25" hidden="false" customHeight="true" outlineLevel="0" collapsed="false">
      <c r="A437" s="69" t="s">
        <v>1327</v>
      </c>
      <c r="B437" s="13" t="s">
        <v>37</v>
      </c>
      <c r="C437" s="22" t="s">
        <v>1442</v>
      </c>
      <c r="D437" s="23" t="s">
        <v>1433</v>
      </c>
      <c r="E437" s="23" t="s">
        <v>1443</v>
      </c>
      <c r="F437" s="23" t="s">
        <v>1444</v>
      </c>
      <c r="G437" s="23" t="s">
        <v>1363</v>
      </c>
      <c r="H437" s="25" t="s">
        <v>277</v>
      </c>
      <c r="I437" s="70"/>
      <c r="J437" s="70"/>
      <c r="K437" s="70"/>
    </row>
    <row r="438" customFormat="false" ht="23.25" hidden="false" customHeight="true" outlineLevel="0" collapsed="false">
      <c r="A438" s="69" t="s">
        <v>1327</v>
      </c>
      <c r="B438" s="13" t="s">
        <v>34</v>
      </c>
      <c r="C438" s="22" t="s">
        <v>1445</v>
      </c>
      <c r="D438" s="23" t="s">
        <v>321</v>
      </c>
      <c r="E438" s="23" t="s">
        <v>1446</v>
      </c>
      <c r="F438" s="23" t="s">
        <v>1447</v>
      </c>
      <c r="G438" s="23" t="s">
        <v>452</v>
      </c>
      <c r="H438" s="25" t="s">
        <v>192</v>
      </c>
      <c r="I438" s="70"/>
      <c r="J438" s="70"/>
      <c r="K438" s="70"/>
    </row>
    <row r="439" customFormat="false" ht="23.25" hidden="false" customHeight="true" outlineLevel="0" collapsed="false">
      <c r="A439" s="69" t="s">
        <v>1327</v>
      </c>
      <c r="B439" s="13" t="s">
        <v>34</v>
      </c>
      <c r="C439" s="22" t="s">
        <v>1448</v>
      </c>
      <c r="D439" s="23" t="s">
        <v>321</v>
      </c>
      <c r="E439" s="23" t="s">
        <v>1446</v>
      </c>
      <c r="F439" s="23" t="s">
        <v>1447</v>
      </c>
      <c r="G439" s="23" t="s">
        <v>452</v>
      </c>
      <c r="H439" s="25" t="s">
        <v>1187</v>
      </c>
      <c r="I439" s="70"/>
      <c r="J439" s="70"/>
      <c r="K439" s="70"/>
    </row>
    <row r="440" customFormat="false" ht="23.25" hidden="false" customHeight="true" outlineLevel="0" collapsed="false">
      <c r="A440" s="69" t="s">
        <v>1327</v>
      </c>
      <c r="B440" s="13" t="s">
        <v>37</v>
      </c>
      <c r="C440" s="22" t="s">
        <v>1449</v>
      </c>
      <c r="D440" s="23" t="s">
        <v>321</v>
      </c>
      <c r="E440" s="23" t="s">
        <v>1450</v>
      </c>
      <c r="F440" s="23" t="s">
        <v>1451</v>
      </c>
      <c r="G440" s="23" t="s">
        <v>1363</v>
      </c>
      <c r="H440" s="25" t="s">
        <v>277</v>
      </c>
      <c r="I440" s="70"/>
      <c r="J440" s="70"/>
      <c r="K440" s="70"/>
    </row>
    <row r="441" customFormat="false" ht="23.25" hidden="false" customHeight="true" outlineLevel="0" collapsed="false">
      <c r="A441" s="69" t="s">
        <v>1327</v>
      </c>
      <c r="B441" s="13" t="s">
        <v>37</v>
      </c>
      <c r="C441" s="22" t="s">
        <v>1452</v>
      </c>
      <c r="D441" s="23" t="s">
        <v>321</v>
      </c>
      <c r="E441" s="23" t="s">
        <v>1453</v>
      </c>
      <c r="F441" s="23" t="s">
        <v>1454</v>
      </c>
      <c r="G441" s="23" t="s">
        <v>1363</v>
      </c>
      <c r="H441" s="25" t="s">
        <v>277</v>
      </c>
      <c r="I441" s="70"/>
      <c r="J441" s="70"/>
      <c r="K441" s="70"/>
    </row>
    <row r="442" customFormat="false" ht="23.25" hidden="false" customHeight="true" outlineLevel="0" collapsed="false">
      <c r="A442" s="69" t="s">
        <v>1327</v>
      </c>
      <c r="B442" s="13" t="s">
        <v>37</v>
      </c>
      <c r="C442" s="22" t="s">
        <v>1455</v>
      </c>
      <c r="D442" s="23" t="s">
        <v>321</v>
      </c>
      <c r="E442" s="23" t="s">
        <v>1456</v>
      </c>
      <c r="F442" s="23" t="s">
        <v>1457</v>
      </c>
      <c r="G442" s="23" t="s">
        <v>1363</v>
      </c>
      <c r="H442" s="25" t="s">
        <v>277</v>
      </c>
      <c r="I442" s="70"/>
      <c r="J442" s="70"/>
      <c r="K442" s="70"/>
    </row>
    <row r="443" customFormat="false" ht="23.25" hidden="false" customHeight="true" outlineLevel="0" collapsed="false">
      <c r="A443" s="69" t="s">
        <v>1327</v>
      </c>
      <c r="B443" s="13" t="s">
        <v>37</v>
      </c>
      <c r="C443" s="22" t="s">
        <v>1458</v>
      </c>
      <c r="D443" s="23" t="s">
        <v>321</v>
      </c>
      <c r="E443" s="23" t="s">
        <v>1459</v>
      </c>
      <c r="F443" s="23" t="s">
        <v>1460</v>
      </c>
      <c r="G443" s="23" t="s">
        <v>1363</v>
      </c>
      <c r="H443" s="25" t="s">
        <v>277</v>
      </c>
      <c r="I443" s="70"/>
      <c r="J443" s="70"/>
      <c r="K443" s="70"/>
    </row>
    <row r="444" customFormat="false" ht="23.25" hidden="false" customHeight="true" outlineLevel="0" collapsed="false">
      <c r="A444" s="69" t="s">
        <v>1327</v>
      </c>
      <c r="B444" s="13" t="s">
        <v>37</v>
      </c>
      <c r="C444" s="22" t="s">
        <v>1461</v>
      </c>
      <c r="D444" s="23" t="s">
        <v>321</v>
      </c>
      <c r="E444" s="23" t="s">
        <v>1462</v>
      </c>
      <c r="F444" s="23" t="s">
        <v>1463</v>
      </c>
      <c r="G444" s="23" t="s">
        <v>1363</v>
      </c>
      <c r="H444" s="25" t="s">
        <v>277</v>
      </c>
      <c r="I444" s="70"/>
      <c r="J444" s="70"/>
      <c r="K444" s="70"/>
    </row>
    <row r="445" customFormat="false" ht="23.25" hidden="false" customHeight="true" outlineLevel="0" collapsed="false">
      <c r="A445" s="69" t="s">
        <v>1327</v>
      </c>
      <c r="B445" s="13" t="s">
        <v>37</v>
      </c>
      <c r="C445" s="22" t="s">
        <v>1464</v>
      </c>
      <c r="D445" s="23" t="s">
        <v>321</v>
      </c>
      <c r="E445" s="23" t="s">
        <v>1465</v>
      </c>
      <c r="F445" s="23" t="s">
        <v>1466</v>
      </c>
      <c r="G445" s="23" t="s">
        <v>1363</v>
      </c>
      <c r="H445" s="25" t="s">
        <v>277</v>
      </c>
      <c r="I445" s="70"/>
      <c r="J445" s="70"/>
      <c r="K445" s="70"/>
    </row>
    <row r="446" customFormat="false" ht="23.25" hidden="false" customHeight="true" outlineLevel="0" collapsed="false">
      <c r="A446" s="69" t="s">
        <v>1327</v>
      </c>
      <c r="B446" s="13" t="s">
        <v>37</v>
      </c>
      <c r="C446" s="22" t="s">
        <v>1467</v>
      </c>
      <c r="D446" s="23" t="s">
        <v>321</v>
      </c>
      <c r="E446" s="23" t="s">
        <v>1468</v>
      </c>
      <c r="F446" s="23" t="s">
        <v>1469</v>
      </c>
      <c r="G446" s="23" t="s">
        <v>1363</v>
      </c>
      <c r="H446" s="25" t="s">
        <v>277</v>
      </c>
      <c r="I446" s="70"/>
      <c r="J446" s="70"/>
      <c r="K446" s="70"/>
    </row>
    <row r="447" customFormat="false" ht="23.25" hidden="false" customHeight="true" outlineLevel="0" collapsed="false">
      <c r="A447" s="69" t="s">
        <v>1327</v>
      </c>
      <c r="B447" s="13" t="s">
        <v>37</v>
      </c>
      <c r="C447" s="22" t="s">
        <v>1470</v>
      </c>
      <c r="D447" s="23" t="s">
        <v>321</v>
      </c>
      <c r="E447" s="23" t="s">
        <v>1471</v>
      </c>
      <c r="F447" s="23" t="s">
        <v>1472</v>
      </c>
      <c r="G447" s="23" t="s">
        <v>1363</v>
      </c>
      <c r="H447" s="25" t="s">
        <v>277</v>
      </c>
      <c r="I447" s="70"/>
      <c r="J447" s="70"/>
      <c r="K447" s="70"/>
    </row>
    <row r="448" customFormat="false" ht="23.25" hidden="false" customHeight="true" outlineLevel="0" collapsed="false">
      <c r="A448" s="69" t="s">
        <v>1327</v>
      </c>
      <c r="B448" s="13" t="s">
        <v>37</v>
      </c>
      <c r="C448" s="22" t="s">
        <v>1473</v>
      </c>
      <c r="D448" s="23" t="s">
        <v>1474</v>
      </c>
      <c r="E448" s="23" t="s">
        <v>1475</v>
      </c>
      <c r="F448" s="23" t="s">
        <v>1476</v>
      </c>
      <c r="G448" s="23" t="s">
        <v>1363</v>
      </c>
      <c r="H448" s="25" t="s">
        <v>277</v>
      </c>
      <c r="I448" s="70"/>
      <c r="J448" s="70"/>
      <c r="K448" s="70"/>
    </row>
    <row r="449" customFormat="false" ht="23.25" hidden="false" customHeight="true" outlineLevel="0" collapsed="false">
      <c r="A449" s="69" t="s">
        <v>1327</v>
      </c>
      <c r="B449" s="13" t="s">
        <v>27</v>
      </c>
      <c r="C449" s="22" t="s">
        <v>1477</v>
      </c>
      <c r="D449" s="23" t="s">
        <v>1478</v>
      </c>
      <c r="E449" s="23" t="s">
        <v>1479</v>
      </c>
      <c r="F449" s="23" t="s">
        <v>1480</v>
      </c>
      <c r="G449" s="23" t="s">
        <v>452</v>
      </c>
      <c r="H449" s="25" t="s">
        <v>267</v>
      </c>
      <c r="I449" s="70"/>
      <c r="J449" s="70"/>
      <c r="K449" s="70"/>
    </row>
    <row r="450" customFormat="false" ht="23.25" hidden="false" customHeight="true" outlineLevel="0" collapsed="false">
      <c r="A450" s="69" t="s">
        <v>1327</v>
      </c>
      <c r="B450" s="13" t="s">
        <v>29</v>
      </c>
      <c r="C450" s="22" t="s">
        <v>1481</v>
      </c>
      <c r="D450" s="23" t="s">
        <v>1478</v>
      </c>
      <c r="E450" s="23" t="s">
        <v>1482</v>
      </c>
      <c r="F450" s="23" t="s">
        <v>1483</v>
      </c>
      <c r="G450" s="23" t="s">
        <v>452</v>
      </c>
      <c r="H450" s="25" t="s">
        <v>753</v>
      </c>
      <c r="I450" s="70"/>
      <c r="J450" s="70"/>
      <c r="K450" s="70"/>
    </row>
    <row r="451" customFormat="false" ht="23.25" hidden="false" customHeight="true" outlineLevel="0" collapsed="false">
      <c r="A451" s="69" t="s">
        <v>1327</v>
      </c>
      <c r="B451" s="13" t="s">
        <v>35</v>
      </c>
      <c r="C451" s="22" t="s">
        <v>1484</v>
      </c>
      <c r="D451" s="23" t="s">
        <v>1478</v>
      </c>
      <c r="E451" s="23" t="s">
        <v>1485</v>
      </c>
      <c r="F451" s="23" t="s">
        <v>1486</v>
      </c>
      <c r="G451" s="23" t="s">
        <v>107</v>
      </c>
      <c r="H451" s="25" t="s">
        <v>245</v>
      </c>
      <c r="I451" s="70"/>
      <c r="J451" s="70"/>
      <c r="K451" s="70"/>
    </row>
    <row r="452" customFormat="false" ht="23.25" hidden="false" customHeight="true" outlineLevel="0" collapsed="false">
      <c r="A452" s="69" t="s">
        <v>1327</v>
      </c>
      <c r="B452" s="13" t="s">
        <v>35</v>
      </c>
      <c r="C452" s="38" t="s">
        <v>1487</v>
      </c>
      <c r="D452" s="39" t="s">
        <v>396</v>
      </c>
      <c r="E452" s="39" t="s">
        <v>1488</v>
      </c>
      <c r="F452" s="39" t="s">
        <v>1489</v>
      </c>
      <c r="G452" s="39" t="s">
        <v>1068</v>
      </c>
      <c r="H452" s="41" t="s">
        <v>261</v>
      </c>
      <c r="I452" s="70"/>
      <c r="J452" s="70"/>
      <c r="K452" s="70"/>
    </row>
    <row r="453" customFormat="false" ht="23.25" hidden="false" customHeight="true" outlineLevel="0" collapsed="false">
      <c r="A453" s="69" t="s">
        <v>1327</v>
      </c>
      <c r="B453" s="13" t="s">
        <v>35</v>
      </c>
      <c r="C453" s="38" t="s">
        <v>1490</v>
      </c>
      <c r="D453" s="39" t="s">
        <v>1491</v>
      </c>
      <c r="E453" s="39" t="s">
        <v>1492</v>
      </c>
      <c r="F453" s="39" t="s">
        <v>1493</v>
      </c>
      <c r="G453" s="39" t="s">
        <v>1062</v>
      </c>
      <c r="H453" s="41" t="s">
        <v>108</v>
      </c>
      <c r="I453" s="70"/>
      <c r="J453" s="70"/>
      <c r="K453" s="70"/>
    </row>
    <row r="454" customFormat="false" ht="23.25" hidden="false" customHeight="true" outlineLevel="0" collapsed="false">
      <c r="A454" s="69" t="s">
        <v>1327</v>
      </c>
      <c r="B454" s="13" t="s">
        <v>35</v>
      </c>
      <c r="C454" s="38" t="s">
        <v>1494</v>
      </c>
      <c r="D454" s="39" t="s">
        <v>1491</v>
      </c>
      <c r="E454" s="39" t="s">
        <v>1492</v>
      </c>
      <c r="F454" s="39" t="s">
        <v>1493</v>
      </c>
      <c r="G454" s="39" t="s">
        <v>1062</v>
      </c>
      <c r="H454" s="41" t="s">
        <v>277</v>
      </c>
      <c r="I454" s="70"/>
      <c r="J454" s="70"/>
      <c r="K454" s="70"/>
    </row>
    <row r="455" customFormat="false" ht="23.25" hidden="false" customHeight="true" outlineLevel="0" collapsed="false">
      <c r="A455" s="69" t="s">
        <v>1327</v>
      </c>
      <c r="B455" s="13" t="s">
        <v>35</v>
      </c>
      <c r="C455" s="38" t="s">
        <v>1495</v>
      </c>
      <c r="D455" s="39" t="s">
        <v>1491</v>
      </c>
      <c r="E455" s="39" t="s">
        <v>1496</v>
      </c>
      <c r="F455" s="39" t="s">
        <v>1497</v>
      </c>
      <c r="G455" s="39" t="s">
        <v>1090</v>
      </c>
      <c r="H455" s="41" t="s">
        <v>267</v>
      </c>
      <c r="I455" s="70"/>
      <c r="J455" s="70"/>
      <c r="K455" s="70"/>
    </row>
    <row r="456" customFormat="false" ht="23.25" hidden="false" customHeight="true" outlineLevel="0" collapsed="false">
      <c r="A456" s="69" t="s">
        <v>1327</v>
      </c>
      <c r="B456" s="13" t="s">
        <v>29</v>
      </c>
      <c r="C456" s="38" t="s">
        <v>1498</v>
      </c>
      <c r="D456" s="39" t="s">
        <v>1499</v>
      </c>
      <c r="E456" s="39" t="s">
        <v>1500</v>
      </c>
      <c r="F456" s="39" t="s">
        <v>1501</v>
      </c>
      <c r="G456" s="39" t="s">
        <v>1363</v>
      </c>
      <c r="H456" s="41" t="s">
        <v>277</v>
      </c>
      <c r="I456" s="70"/>
      <c r="J456" s="70"/>
      <c r="K456" s="70"/>
    </row>
    <row r="457" customFormat="false" ht="23.25" hidden="false" customHeight="true" outlineLevel="0" collapsed="false">
      <c r="A457" s="69" t="s">
        <v>1327</v>
      </c>
      <c r="B457" s="13" t="s">
        <v>29</v>
      </c>
      <c r="C457" s="38" t="s">
        <v>1502</v>
      </c>
      <c r="D457" s="39" t="s">
        <v>1499</v>
      </c>
      <c r="E457" s="39" t="s">
        <v>1503</v>
      </c>
      <c r="F457" s="39" t="s">
        <v>1504</v>
      </c>
      <c r="G457" s="39" t="s">
        <v>1363</v>
      </c>
      <c r="H457" s="41" t="s">
        <v>277</v>
      </c>
      <c r="I457" s="70"/>
      <c r="J457" s="70"/>
      <c r="K457" s="70"/>
    </row>
    <row r="458" customFormat="false" ht="23.25" hidden="false" customHeight="true" outlineLevel="0" collapsed="false">
      <c r="A458" s="69" t="s">
        <v>1327</v>
      </c>
      <c r="B458" s="13" t="s">
        <v>30</v>
      </c>
      <c r="C458" s="38" t="s">
        <v>1505</v>
      </c>
      <c r="D458" s="39" t="s">
        <v>1499</v>
      </c>
      <c r="E458" s="39" t="s">
        <v>1506</v>
      </c>
      <c r="F458" s="39" t="s">
        <v>1507</v>
      </c>
      <c r="G458" s="39" t="s">
        <v>1363</v>
      </c>
      <c r="H458" s="41" t="s">
        <v>277</v>
      </c>
      <c r="I458" s="70"/>
      <c r="J458" s="70"/>
      <c r="K458" s="70"/>
    </row>
    <row r="459" customFormat="false" ht="23.25" hidden="false" customHeight="true" outlineLevel="0" collapsed="false">
      <c r="A459" s="69" t="s">
        <v>1327</v>
      </c>
      <c r="B459" s="13" t="s">
        <v>30</v>
      </c>
      <c r="C459" s="38" t="s">
        <v>1508</v>
      </c>
      <c r="D459" s="39" t="s">
        <v>1499</v>
      </c>
      <c r="E459" s="39" t="s">
        <v>1509</v>
      </c>
      <c r="F459" s="39" t="s">
        <v>1510</v>
      </c>
      <c r="G459" s="39" t="s">
        <v>1363</v>
      </c>
      <c r="H459" s="41" t="s">
        <v>277</v>
      </c>
      <c r="I459" s="70"/>
      <c r="J459" s="70"/>
      <c r="K459" s="70"/>
    </row>
    <row r="460" customFormat="false" ht="23.25" hidden="false" customHeight="true" outlineLevel="0" collapsed="false">
      <c r="A460" s="69" t="s">
        <v>1327</v>
      </c>
      <c r="B460" s="13" t="s">
        <v>30</v>
      </c>
      <c r="C460" s="38" t="s">
        <v>1511</v>
      </c>
      <c r="D460" s="39" t="s">
        <v>1499</v>
      </c>
      <c r="E460" s="39" t="s">
        <v>1512</v>
      </c>
      <c r="F460" s="39" t="s">
        <v>1513</v>
      </c>
      <c r="G460" s="39" t="s">
        <v>1363</v>
      </c>
      <c r="H460" s="41" t="s">
        <v>277</v>
      </c>
      <c r="I460" s="70"/>
      <c r="J460" s="70"/>
      <c r="K460" s="70"/>
    </row>
    <row r="461" customFormat="false" ht="23.25" hidden="false" customHeight="true" outlineLevel="0" collapsed="false">
      <c r="A461" s="69" t="s">
        <v>1327</v>
      </c>
      <c r="B461" s="13" t="s">
        <v>35</v>
      </c>
      <c r="C461" s="38" t="s">
        <v>1514</v>
      </c>
      <c r="D461" s="39" t="s">
        <v>1499</v>
      </c>
      <c r="E461" s="39" t="s">
        <v>1515</v>
      </c>
      <c r="F461" s="39" t="s">
        <v>1516</v>
      </c>
      <c r="G461" s="39" t="s">
        <v>1062</v>
      </c>
      <c r="H461" s="41" t="s">
        <v>1069</v>
      </c>
      <c r="I461" s="70"/>
      <c r="J461" s="70"/>
      <c r="K461" s="70"/>
    </row>
    <row r="462" customFormat="false" ht="23.25" hidden="false" customHeight="true" outlineLevel="0" collapsed="false">
      <c r="A462" s="69" t="s">
        <v>1327</v>
      </c>
      <c r="B462" s="13" t="s">
        <v>35</v>
      </c>
      <c r="C462" s="38" t="s">
        <v>1517</v>
      </c>
      <c r="D462" s="39" t="s">
        <v>1499</v>
      </c>
      <c r="E462" s="39" t="s">
        <v>1515</v>
      </c>
      <c r="F462" s="39" t="s">
        <v>1516</v>
      </c>
      <c r="G462" s="39" t="s">
        <v>1062</v>
      </c>
      <c r="H462" s="41" t="s">
        <v>1074</v>
      </c>
      <c r="I462" s="70"/>
      <c r="J462" s="70"/>
      <c r="K462" s="70"/>
    </row>
    <row r="463" customFormat="false" ht="23.25" hidden="false" customHeight="true" outlineLevel="0" collapsed="false">
      <c r="A463" s="69" t="s">
        <v>1327</v>
      </c>
      <c r="B463" s="13" t="s">
        <v>35</v>
      </c>
      <c r="C463" s="38" t="s">
        <v>1518</v>
      </c>
      <c r="D463" s="39" t="s">
        <v>1499</v>
      </c>
      <c r="E463" s="39" t="s">
        <v>1515</v>
      </c>
      <c r="F463" s="39" t="s">
        <v>1516</v>
      </c>
      <c r="G463" s="39" t="s">
        <v>1062</v>
      </c>
      <c r="H463" s="41" t="s">
        <v>1072</v>
      </c>
      <c r="I463" s="70"/>
      <c r="J463" s="70"/>
      <c r="K463" s="70"/>
    </row>
    <row r="464" customFormat="false" ht="23.25" hidden="false" customHeight="true" outlineLevel="0" collapsed="false">
      <c r="A464" s="69" t="s">
        <v>1327</v>
      </c>
      <c r="B464" s="13" t="s">
        <v>35</v>
      </c>
      <c r="C464" s="38" t="s">
        <v>1519</v>
      </c>
      <c r="D464" s="39" t="s">
        <v>1499</v>
      </c>
      <c r="E464" s="39" t="s">
        <v>1515</v>
      </c>
      <c r="F464" s="39" t="s">
        <v>1516</v>
      </c>
      <c r="G464" s="39" t="s">
        <v>1062</v>
      </c>
      <c r="H464" s="41" t="s">
        <v>1104</v>
      </c>
      <c r="I464" s="70"/>
      <c r="J464" s="70"/>
      <c r="K464" s="70"/>
    </row>
    <row r="465" customFormat="false" ht="23.25" hidden="false" customHeight="true" outlineLevel="0" collapsed="false">
      <c r="A465" s="69" t="s">
        <v>1327</v>
      </c>
      <c r="B465" s="13" t="s">
        <v>30</v>
      </c>
      <c r="C465" s="38" t="s">
        <v>1520</v>
      </c>
      <c r="D465" s="39" t="s">
        <v>1521</v>
      </c>
      <c r="E465" s="39" t="s">
        <v>1522</v>
      </c>
      <c r="F465" s="39" t="s">
        <v>1523</v>
      </c>
      <c r="G465" s="39" t="s">
        <v>1363</v>
      </c>
      <c r="H465" s="41" t="s">
        <v>277</v>
      </c>
      <c r="I465" s="70"/>
      <c r="J465" s="70"/>
      <c r="K465" s="70"/>
    </row>
    <row r="466" customFormat="false" ht="23.25" hidden="false" customHeight="true" outlineLevel="0" collapsed="false">
      <c r="A466" s="69" t="s">
        <v>1327</v>
      </c>
      <c r="B466" s="13" t="s">
        <v>30</v>
      </c>
      <c r="C466" s="38" t="s">
        <v>1524</v>
      </c>
      <c r="D466" s="39" t="s">
        <v>1521</v>
      </c>
      <c r="E466" s="39" t="s">
        <v>1525</v>
      </c>
      <c r="F466" s="39" t="s">
        <v>1526</v>
      </c>
      <c r="G466" s="39" t="s">
        <v>1363</v>
      </c>
      <c r="H466" s="41" t="s">
        <v>277</v>
      </c>
      <c r="I466" s="70"/>
      <c r="J466" s="70"/>
      <c r="K466" s="70"/>
    </row>
    <row r="467" customFormat="false" ht="23.25" hidden="false" customHeight="true" outlineLevel="0" collapsed="false">
      <c r="A467" s="69" t="s">
        <v>1327</v>
      </c>
      <c r="B467" s="13" t="s">
        <v>30</v>
      </c>
      <c r="C467" s="38" t="s">
        <v>1527</v>
      </c>
      <c r="D467" s="39" t="s">
        <v>1521</v>
      </c>
      <c r="E467" s="39" t="s">
        <v>1528</v>
      </c>
      <c r="F467" s="39" t="s">
        <v>1529</v>
      </c>
      <c r="G467" s="39" t="s">
        <v>1363</v>
      </c>
      <c r="H467" s="41" t="s">
        <v>277</v>
      </c>
      <c r="I467" s="70"/>
      <c r="J467" s="70"/>
      <c r="K467" s="70"/>
    </row>
    <row r="468" customFormat="false" ht="23.25" hidden="false" customHeight="true" outlineLevel="0" collapsed="false">
      <c r="A468" s="69" t="s">
        <v>1327</v>
      </c>
      <c r="B468" s="13" t="s">
        <v>32</v>
      </c>
      <c r="C468" s="38" t="s">
        <v>1530</v>
      </c>
      <c r="D468" s="39" t="s">
        <v>1531</v>
      </c>
      <c r="E468" s="39" t="s">
        <v>1532</v>
      </c>
      <c r="F468" s="39" t="s">
        <v>1533</v>
      </c>
      <c r="G468" s="39" t="s">
        <v>1363</v>
      </c>
      <c r="H468" s="41" t="s">
        <v>277</v>
      </c>
      <c r="I468" s="70"/>
      <c r="J468" s="70"/>
      <c r="K468" s="70"/>
    </row>
    <row r="469" customFormat="false" ht="23.25" hidden="false" customHeight="true" outlineLevel="0" collapsed="false">
      <c r="A469" s="69" t="s">
        <v>1327</v>
      </c>
      <c r="B469" s="13" t="s">
        <v>32</v>
      </c>
      <c r="C469" s="38" t="s">
        <v>1534</v>
      </c>
      <c r="D469" s="39" t="s">
        <v>1531</v>
      </c>
      <c r="E469" s="39" t="s">
        <v>1535</v>
      </c>
      <c r="F469" s="39" t="s">
        <v>1536</v>
      </c>
      <c r="G469" s="39" t="s">
        <v>1363</v>
      </c>
      <c r="H469" s="41" t="s">
        <v>277</v>
      </c>
      <c r="I469" s="70"/>
      <c r="J469" s="70"/>
      <c r="K469" s="70"/>
    </row>
    <row r="470" customFormat="false" ht="23.25" hidden="false" customHeight="true" outlineLevel="0" collapsed="false">
      <c r="A470" s="69" t="s">
        <v>1327</v>
      </c>
      <c r="B470" s="13" t="s">
        <v>26</v>
      </c>
      <c r="C470" s="38" t="s">
        <v>1537</v>
      </c>
      <c r="D470" s="39" t="s">
        <v>1538</v>
      </c>
      <c r="E470" s="39" t="s">
        <v>1539</v>
      </c>
      <c r="F470" s="39" t="s">
        <v>1540</v>
      </c>
      <c r="G470" s="39" t="s">
        <v>142</v>
      </c>
      <c r="H470" s="41" t="s">
        <v>345</v>
      </c>
      <c r="I470" s="70"/>
      <c r="J470" s="70"/>
      <c r="K470" s="70"/>
    </row>
    <row r="471" customFormat="false" ht="23.25" hidden="false" customHeight="true" outlineLevel="0" collapsed="false">
      <c r="A471" s="69" t="s">
        <v>1327</v>
      </c>
      <c r="B471" s="13" t="s">
        <v>29</v>
      </c>
      <c r="C471" s="38" t="s">
        <v>1541</v>
      </c>
      <c r="D471" s="39" t="s">
        <v>1538</v>
      </c>
      <c r="E471" s="39" t="s">
        <v>1542</v>
      </c>
      <c r="F471" s="39" t="s">
        <v>1543</v>
      </c>
      <c r="G471" s="39" t="s">
        <v>142</v>
      </c>
      <c r="H471" s="41" t="s">
        <v>345</v>
      </c>
      <c r="I471" s="70"/>
      <c r="J471" s="70"/>
      <c r="K471" s="70"/>
    </row>
    <row r="472" customFormat="false" ht="23.25" hidden="false" customHeight="true" outlineLevel="0" collapsed="false">
      <c r="A472" s="69" t="s">
        <v>1327</v>
      </c>
      <c r="B472" s="13" t="s">
        <v>26</v>
      </c>
      <c r="C472" s="38" t="s">
        <v>1544</v>
      </c>
      <c r="D472" s="39" t="s">
        <v>1538</v>
      </c>
      <c r="E472" s="39" t="s">
        <v>1545</v>
      </c>
      <c r="F472" s="39" t="s">
        <v>1546</v>
      </c>
      <c r="G472" s="39" t="s">
        <v>142</v>
      </c>
      <c r="H472" s="41" t="s">
        <v>345</v>
      </c>
      <c r="I472" s="70"/>
      <c r="J472" s="70"/>
      <c r="K472" s="70"/>
    </row>
    <row r="473" customFormat="false" ht="23.25" hidden="false" customHeight="true" outlineLevel="0" collapsed="false">
      <c r="A473" s="69" t="s">
        <v>1327</v>
      </c>
      <c r="B473" s="13" t="s">
        <v>26</v>
      </c>
      <c r="C473" s="38" t="s">
        <v>1547</v>
      </c>
      <c r="D473" s="39" t="s">
        <v>1538</v>
      </c>
      <c r="E473" s="39" t="s">
        <v>1545</v>
      </c>
      <c r="F473" s="39" t="s">
        <v>1546</v>
      </c>
      <c r="G473" s="39" t="s">
        <v>142</v>
      </c>
      <c r="H473" s="41" t="s">
        <v>163</v>
      </c>
      <c r="I473" s="70"/>
      <c r="J473" s="70"/>
      <c r="K473" s="70"/>
    </row>
    <row r="474" customFormat="false" ht="23.25" hidden="false" customHeight="true" outlineLevel="0" collapsed="false">
      <c r="A474" s="69" t="s">
        <v>1327</v>
      </c>
      <c r="B474" s="13" t="s">
        <v>35</v>
      </c>
      <c r="C474" s="38" t="s">
        <v>1548</v>
      </c>
      <c r="D474" s="39" t="s">
        <v>1538</v>
      </c>
      <c r="E474" s="39" t="s">
        <v>1549</v>
      </c>
      <c r="F474" s="39" t="s">
        <v>1550</v>
      </c>
      <c r="G474" s="39" t="s">
        <v>142</v>
      </c>
      <c r="H474" s="41" t="s">
        <v>345</v>
      </c>
      <c r="I474" s="70"/>
      <c r="J474" s="70"/>
      <c r="K474" s="70"/>
    </row>
    <row r="475" customFormat="false" ht="23.25" hidden="false" customHeight="true" outlineLevel="0" collapsed="false">
      <c r="A475" s="69" t="s">
        <v>1327</v>
      </c>
      <c r="B475" s="13" t="s">
        <v>35</v>
      </c>
      <c r="C475" s="38" t="s">
        <v>1551</v>
      </c>
      <c r="D475" s="39" t="s">
        <v>1538</v>
      </c>
      <c r="E475" s="39" t="s">
        <v>1549</v>
      </c>
      <c r="F475" s="39" t="s">
        <v>1550</v>
      </c>
      <c r="G475" s="39" t="s">
        <v>174</v>
      </c>
      <c r="H475" s="41" t="s">
        <v>175</v>
      </c>
      <c r="I475" s="70"/>
      <c r="J475" s="70"/>
      <c r="K475" s="70"/>
    </row>
    <row r="476" customFormat="false" ht="23.25" hidden="false" customHeight="true" outlineLevel="0" collapsed="false">
      <c r="A476" s="69" t="s">
        <v>1327</v>
      </c>
      <c r="B476" s="13" t="s">
        <v>27</v>
      </c>
      <c r="C476" s="38" t="s">
        <v>1552</v>
      </c>
      <c r="D476" s="39" t="s">
        <v>1553</v>
      </c>
      <c r="E476" s="39" t="s">
        <v>1554</v>
      </c>
      <c r="F476" s="39" t="s">
        <v>1555</v>
      </c>
      <c r="G476" s="39" t="s">
        <v>1090</v>
      </c>
      <c r="H476" s="41" t="s">
        <v>1160</v>
      </c>
      <c r="I476" s="70"/>
      <c r="J476" s="70"/>
      <c r="K476" s="70"/>
    </row>
    <row r="477" customFormat="false" ht="23.25" hidden="false" customHeight="true" outlineLevel="0" collapsed="false">
      <c r="A477" s="69" t="s">
        <v>1327</v>
      </c>
      <c r="B477" s="13" t="s">
        <v>27</v>
      </c>
      <c r="C477" s="38" t="s">
        <v>1556</v>
      </c>
      <c r="D477" s="39" t="s">
        <v>1553</v>
      </c>
      <c r="E477" s="39" t="s">
        <v>1554</v>
      </c>
      <c r="F477" s="39" t="s">
        <v>1555</v>
      </c>
      <c r="G477" s="39" t="s">
        <v>1062</v>
      </c>
      <c r="H477" s="41" t="s">
        <v>1160</v>
      </c>
      <c r="I477" s="70"/>
      <c r="J477" s="70"/>
      <c r="K477" s="70"/>
    </row>
    <row r="478" customFormat="false" ht="23.25" hidden="false" customHeight="true" outlineLevel="0" collapsed="false">
      <c r="A478" s="69" t="s">
        <v>1327</v>
      </c>
      <c r="B478" s="13" t="s">
        <v>30</v>
      </c>
      <c r="C478" s="38" t="s">
        <v>1557</v>
      </c>
      <c r="D478" s="39" t="s">
        <v>1553</v>
      </c>
      <c r="E478" s="39" t="s">
        <v>1558</v>
      </c>
      <c r="F478" s="39" t="s">
        <v>1559</v>
      </c>
      <c r="G478" s="39" t="s">
        <v>1363</v>
      </c>
      <c r="H478" s="41" t="s">
        <v>277</v>
      </c>
      <c r="I478" s="70"/>
      <c r="J478" s="70"/>
      <c r="K478" s="70"/>
    </row>
    <row r="479" customFormat="false" ht="23.25" hidden="false" customHeight="true" outlineLevel="0" collapsed="false">
      <c r="A479" s="69" t="s">
        <v>1327</v>
      </c>
      <c r="B479" s="13" t="s">
        <v>30</v>
      </c>
      <c r="C479" s="38" t="s">
        <v>1560</v>
      </c>
      <c r="D479" s="39" t="s">
        <v>1553</v>
      </c>
      <c r="E479" s="39" t="s">
        <v>1558</v>
      </c>
      <c r="F479" s="39" t="s">
        <v>1559</v>
      </c>
      <c r="G479" s="39" t="s">
        <v>1363</v>
      </c>
      <c r="H479" s="41" t="s">
        <v>245</v>
      </c>
      <c r="I479" s="70"/>
      <c r="J479" s="70"/>
      <c r="K479" s="70"/>
    </row>
    <row r="480" customFormat="false" ht="23.25" hidden="false" customHeight="true" outlineLevel="0" collapsed="false">
      <c r="A480" s="69" t="s">
        <v>1327</v>
      </c>
      <c r="B480" s="13" t="s">
        <v>27</v>
      </c>
      <c r="C480" s="38" t="s">
        <v>1561</v>
      </c>
      <c r="D480" s="39" t="s">
        <v>379</v>
      </c>
      <c r="E480" s="39" t="s">
        <v>1554</v>
      </c>
      <c r="F480" s="39" t="s">
        <v>1555</v>
      </c>
      <c r="G480" s="39" t="s">
        <v>1062</v>
      </c>
      <c r="H480" s="41" t="s">
        <v>1160</v>
      </c>
      <c r="I480" s="70"/>
      <c r="J480" s="70"/>
      <c r="K480" s="70"/>
    </row>
    <row r="481" customFormat="false" ht="23.25" hidden="false" customHeight="true" outlineLevel="0" collapsed="false">
      <c r="A481" s="69" t="s">
        <v>1327</v>
      </c>
      <c r="B481" s="13" t="s">
        <v>27</v>
      </c>
      <c r="C481" s="30" t="s">
        <v>1562</v>
      </c>
      <c r="D481" s="31" t="s">
        <v>1054</v>
      </c>
      <c r="E481" s="31" t="s">
        <v>1563</v>
      </c>
      <c r="F481" s="31" t="s">
        <v>1564</v>
      </c>
      <c r="G481" s="31" t="s">
        <v>174</v>
      </c>
      <c r="H481" s="33" t="s">
        <v>245</v>
      </c>
      <c r="I481" s="70"/>
      <c r="J481" s="70"/>
      <c r="K481" s="70"/>
    </row>
    <row r="482" customFormat="false" ht="23.25" hidden="false" customHeight="true" outlineLevel="0" collapsed="false">
      <c r="A482" s="69" t="s">
        <v>1327</v>
      </c>
      <c r="B482" s="13" t="s">
        <v>29</v>
      </c>
      <c r="C482" s="30" t="s">
        <v>1565</v>
      </c>
      <c r="D482" s="31" t="s">
        <v>1566</v>
      </c>
      <c r="E482" s="31" t="s">
        <v>1567</v>
      </c>
      <c r="F482" s="31" t="s">
        <v>1568</v>
      </c>
      <c r="G482" s="31" t="s">
        <v>1363</v>
      </c>
      <c r="H482" s="33" t="s">
        <v>277</v>
      </c>
      <c r="I482" s="70"/>
      <c r="J482" s="70"/>
      <c r="K482" s="70"/>
    </row>
    <row r="483" customFormat="false" ht="23.25" hidden="false" customHeight="true" outlineLevel="0" collapsed="false">
      <c r="A483" s="69" t="s">
        <v>1327</v>
      </c>
      <c r="B483" s="13" t="s">
        <v>29</v>
      </c>
      <c r="C483" s="30" t="s">
        <v>1569</v>
      </c>
      <c r="D483" s="31" t="s">
        <v>1566</v>
      </c>
      <c r="E483" s="31" t="s">
        <v>1570</v>
      </c>
      <c r="F483" s="31" t="s">
        <v>1571</v>
      </c>
      <c r="G483" s="31" t="s">
        <v>1363</v>
      </c>
      <c r="H483" s="33" t="s">
        <v>277</v>
      </c>
      <c r="I483" s="70"/>
      <c r="J483" s="70"/>
      <c r="K483" s="70"/>
    </row>
    <row r="484" customFormat="false" ht="23.25" hidden="false" customHeight="true" outlineLevel="0" collapsed="false">
      <c r="A484" s="69" t="s">
        <v>1327</v>
      </c>
      <c r="B484" s="13" t="s">
        <v>32</v>
      </c>
      <c r="C484" s="30" t="s">
        <v>1572</v>
      </c>
      <c r="D484" s="31" t="s">
        <v>1573</v>
      </c>
      <c r="E484" s="31" t="s">
        <v>1574</v>
      </c>
      <c r="F484" s="31" t="s">
        <v>1575</v>
      </c>
      <c r="G484" s="31" t="s">
        <v>1062</v>
      </c>
      <c r="H484" s="33" t="s">
        <v>1104</v>
      </c>
      <c r="I484" s="70"/>
      <c r="J484" s="70"/>
      <c r="K484" s="70"/>
    </row>
    <row r="485" customFormat="false" ht="23.25" hidden="false" customHeight="true" outlineLevel="0" collapsed="false">
      <c r="A485" s="69" t="s">
        <v>1327</v>
      </c>
      <c r="B485" s="13" t="s">
        <v>26</v>
      </c>
      <c r="C485" s="30" t="s">
        <v>1576</v>
      </c>
      <c r="D485" s="31" t="s">
        <v>1577</v>
      </c>
      <c r="E485" s="31" t="s">
        <v>1578</v>
      </c>
      <c r="F485" s="31" t="s">
        <v>1579</v>
      </c>
      <c r="G485" s="31" t="s">
        <v>1068</v>
      </c>
      <c r="H485" s="33" t="s">
        <v>1236</v>
      </c>
      <c r="I485" s="70"/>
      <c r="J485" s="70"/>
      <c r="K485" s="70"/>
    </row>
    <row r="486" customFormat="false" ht="23.25" hidden="false" customHeight="true" outlineLevel="0" collapsed="false">
      <c r="A486" s="69" t="s">
        <v>1327</v>
      </c>
      <c r="B486" s="13" t="s">
        <v>37</v>
      </c>
      <c r="C486" s="30" t="s">
        <v>1580</v>
      </c>
      <c r="D486" s="31" t="s">
        <v>399</v>
      </c>
      <c r="E486" s="31" t="s">
        <v>1581</v>
      </c>
      <c r="F486" s="31" t="s">
        <v>1582</v>
      </c>
      <c r="G486" s="31" t="s">
        <v>1363</v>
      </c>
      <c r="H486" s="33" t="s">
        <v>245</v>
      </c>
      <c r="I486" s="70"/>
      <c r="J486" s="70"/>
      <c r="K486" s="70"/>
    </row>
    <row r="487" customFormat="false" ht="23.25" hidden="false" customHeight="true" outlineLevel="0" collapsed="false">
      <c r="A487" s="69" t="s">
        <v>1327</v>
      </c>
      <c r="B487" s="13" t="s">
        <v>28</v>
      </c>
      <c r="C487" s="30" t="s">
        <v>1583</v>
      </c>
      <c r="D487" s="31" t="s">
        <v>162</v>
      </c>
      <c r="E487" s="31" t="s">
        <v>1584</v>
      </c>
      <c r="F487" s="31" t="s">
        <v>1585</v>
      </c>
      <c r="G487" s="31" t="s">
        <v>1068</v>
      </c>
      <c r="H487" s="33" t="s">
        <v>245</v>
      </c>
      <c r="I487" s="70"/>
      <c r="J487" s="70"/>
      <c r="K487" s="70"/>
    </row>
    <row r="488" customFormat="false" ht="23.25" hidden="false" customHeight="true" outlineLevel="0" collapsed="false">
      <c r="A488" s="69" t="s">
        <v>1327</v>
      </c>
      <c r="B488" s="13" t="s">
        <v>34</v>
      </c>
      <c r="C488" s="30" t="s">
        <v>1586</v>
      </c>
      <c r="D488" s="31" t="s">
        <v>162</v>
      </c>
      <c r="E488" s="31" t="s">
        <v>1587</v>
      </c>
      <c r="F488" s="31" t="s">
        <v>1588</v>
      </c>
      <c r="G488" s="31" t="s">
        <v>1068</v>
      </c>
      <c r="H488" s="33" t="s">
        <v>245</v>
      </c>
      <c r="I488" s="70"/>
      <c r="J488" s="70"/>
      <c r="K488" s="70"/>
    </row>
    <row r="489" customFormat="false" ht="23.25" hidden="false" customHeight="true" outlineLevel="0" collapsed="false">
      <c r="A489" s="69" t="s">
        <v>1327</v>
      </c>
      <c r="B489" s="13" t="s">
        <v>28</v>
      </c>
      <c r="C489" s="30" t="s">
        <v>1589</v>
      </c>
      <c r="D489" s="31" t="s">
        <v>162</v>
      </c>
      <c r="E489" s="31" t="s">
        <v>1590</v>
      </c>
      <c r="F489" s="31" t="s">
        <v>1591</v>
      </c>
      <c r="G489" s="31" t="s">
        <v>1068</v>
      </c>
      <c r="H489" s="33" t="s">
        <v>245</v>
      </c>
      <c r="I489" s="70"/>
      <c r="J489" s="70"/>
      <c r="K489" s="70"/>
    </row>
    <row r="490" customFormat="false" ht="23.25" hidden="false" customHeight="true" outlineLevel="0" collapsed="false">
      <c r="A490" s="69" t="s">
        <v>1327</v>
      </c>
      <c r="B490" s="13" t="s">
        <v>36</v>
      </c>
      <c r="C490" s="30" t="s">
        <v>1592</v>
      </c>
      <c r="D490" s="31" t="s">
        <v>162</v>
      </c>
      <c r="E490" s="31" t="s">
        <v>1593</v>
      </c>
      <c r="F490" s="31" t="s">
        <v>1594</v>
      </c>
      <c r="G490" s="31" t="s">
        <v>85</v>
      </c>
      <c r="H490" s="33" t="s">
        <v>175</v>
      </c>
      <c r="I490" s="70"/>
      <c r="J490" s="70"/>
      <c r="K490" s="70"/>
    </row>
    <row r="491" customFormat="false" ht="23.25" hidden="false" customHeight="true" outlineLevel="0" collapsed="false">
      <c r="A491" s="69" t="s">
        <v>1327</v>
      </c>
      <c r="B491" s="13" t="s">
        <v>36</v>
      </c>
      <c r="C491" s="30" t="s">
        <v>1595</v>
      </c>
      <c r="D491" s="31" t="s">
        <v>162</v>
      </c>
      <c r="E491" s="31" t="s">
        <v>1593</v>
      </c>
      <c r="F491" s="31" t="s">
        <v>1594</v>
      </c>
      <c r="G491" s="31" t="s">
        <v>85</v>
      </c>
      <c r="H491" s="33" t="s">
        <v>163</v>
      </c>
      <c r="I491" s="70"/>
      <c r="J491" s="70"/>
      <c r="K491" s="70"/>
    </row>
    <row r="492" customFormat="false" ht="23.25" hidden="false" customHeight="true" outlineLevel="0" collapsed="false">
      <c r="A492" s="69" t="s">
        <v>1327</v>
      </c>
      <c r="B492" s="13" t="s">
        <v>36</v>
      </c>
      <c r="C492" s="30" t="s">
        <v>1596</v>
      </c>
      <c r="D492" s="31" t="s">
        <v>162</v>
      </c>
      <c r="E492" s="31" t="s">
        <v>1593</v>
      </c>
      <c r="F492" s="31" t="s">
        <v>1594</v>
      </c>
      <c r="G492" s="31" t="s">
        <v>85</v>
      </c>
      <c r="H492" s="33" t="s">
        <v>172</v>
      </c>
      <c r="I492" s="70"/>
      <c r="J492" s="70"/>
      <c r="K492" s="70"/>
    </row>
    <row r="493" customFormat="false" ht="23.25" hidden="false" customHeight="true" outlineLevel="0" collapsed="false">
      <c r="A493" s="69" t="s">
        <v>1327</v>
      </c>
      <c r="B493" s="13" t="s">
        <v>27</v>
      </c>
      <c r="C493" s="30" t="s">
        <v>1597</v>
      </c>
      <c r="D493" s="31" t="s">
        <v>1598</v>
      </c>
      <c r="E493" s="31" t="s">
        <v>1599</v>
      </c>
      <c r="F493" s="31" t="s">
        <v>1600</v>
      </c>
      <c r="G493" s="31" t="s">
        <v>1068</v>
      </c>
      <c r="H493" s="33" t="s">
        <v>245</v>
      </c>
      <c r="I493" s="70"/>
      <c r="J493" s="70"/>
      <c r="K493" s="70"/>
    </row>
    <row r="494" customFormat="false" ht="23.25" hidden="false" customHeight="true" outlineLevel="0" collapsed="false">
      <c r="A494" s="69" t="s">
        <v>1327</v>
      </c>
      <c r="B494" s="13" t="s">
        <v>29</v>
      </c>
      <c r="C494" s="30" t="s">
        <v>1601</v>
      </c>
      <c r="D494" s="31" t="s">
        <v>1602</v>
      </c>
      <c r="E494" s="31" t="s">
        <v>1603</v>
      </c>
      <c r="F494" s="31" t="s">
        <v>1604</v>
      </c>
      <c r="G494" s="31" t="s">
        <v>1090</v>
      </c>
      <c r="H494" s="33" t="s">
        <v>265</v>
      </c>
      <c r="I494" s="70"/>
      <c r="J494" s="70"/>
      <c r="K494" s="70"/>
    </row>
    <row r="495" customFormat="false" ht="23.25" hidden="false" customHeight="true" outlineLevel="0" collapsed="false">
      <c r="A495" s="69" t="s">
        <v>1327</v>
      </c>
      <c r="B495" s="13" t="s">
        <v>29</v>
      </c>
      <c r="C495" s="30" t="s">
        <v>1605</v>
      </c>
      <c r="D495" s="31" t="s">
        <v>1602</v>
      </c>
      <c r="E495" s="31" t="s">
        <v>1603</v>
      </c>
      <c r="F495" s="31" t="s">
        <v>1604</v>
      </c>
      <c r="G495" s="31" t="s">
        <v>1090</v>
      </c>
      <c r="H495" s="33" t="s">
        <v>269</v>
      </c>
      <c r="I495" s="70"/>
      <c r="J495" s="70"/>
      <c r="K495" s="70"/>
    </row>
    <row r="496" customFormat="false" ht="23.25" hidden="false" customHeight="true" outlineLevel="0" collapsed="false">
      <c r="A496" s="69" t="s">
        <v>1327</v>
      </c>
      <c r="B496" s="13" t="s">
        <v>29</v>
      </c>
      <c r="C496" s="30" t="s">
        <v>1606</v>
      </c>
      <c r="D496" s="31" t="s">
        <v>1602</v>
      </c>
      <c r="E496" s="31" t="s">
        <v>1603</v>
      </c>
      <c r="F496" s="31" t="s">
        <v>1604</v>
      </c>
      <c r="G496" s="31" t="s">
        <v>1062</v>
      </c>
      <c r="H496" s="33" t="s">
        <v>265</v>
      </c>
      <c r="I496" s="70"/>
      <c r="J496" s="70"/>
      <c r="K496" s="70"/>
    </row>
    <row r="497" customFormat="false" ht="23.25" hidden="false" customHeight="true" outlineLevel="0" collapsed="false">
      <c r="A497" s="69" t="s">
        <v>1327</v>
      </c>
      <c r="B497" s="13" t="s">
        <v>29</v>
      </c>
      <c r="C497" s="30" t="s">
        <v>1607</v>
      </c>
      <c r="D497" s="31" t="s">
        <v>1602</v>
      </c>
      <c r="E497" s="31" t="s">
        <v>1603</v>
      </c>
      <c r="F497" s="31" t="s">
        <v>1604</v>
      </c>
      <c r="G497" s="31" t="s">
        <v>1062</v>
      </c>
      <c r="H497" s="33" t="s">
        <v>267</v>
      </c>
      <c r="I497" s="70"/>
      <c r="J497" s="70"/>
      <c r="K497" s="70"/>
    </row>
    <row r="498" customFormat="false" ht="23.25" hidden="false" customHeight="true" outlineLevel="0" collapsed="false">
      <c r="A498" s="69" t="s">
        <v>1327</v>
      </c>
      <c r="B498" s="13" t="s">
        <v>29</v>
      </c>
      <c r="C498" s="30" t="s">
        <v>1608</v>
      </c>
      <c r="D498" s="31" t="s">
        <v>1602</v>
      </c>
      <c r="E498" s="31" t="s">
        <v>1603</v>
      </c>
      <c r="F498" s="31" t="s">
        <v>1604</v>
      </c>
      <c r="G498" s="31" t="s">
        <v>1062</v>
      </c>
      <c r="H498" s="33" t="s">
        <v>269</v>
      </c>
      <c r="I498" s="70"/>
      <c r="J498" s="70"/>
      <c r="K498" s="70"/>
    </row>
    <row r="499" customFormat="false" ht="23.25" hidden="false" customHeight="true" outlineLevel="0" collapsed="false">
      <c r="A499" s="69" t="s">
        <v>1327</v>
      </c>
      <c r="B499" s="13" t="s">
        <v>29</v>
      </c>
      <c r="C499" s="30" t="s">
        <v>1609</v>
      </c>
      <c r="D499" s="31" t="s">
        <v>1602</v>
      </c>
      <c r="E499" s="31" t="s">
        <v>1603</v>
      </c>
      <c r="F499" s="31" t="s">
        <v>1604</v>
      </c>
      <c r="G499" s="31" t="s">
        <v>107</v>
      </c>
      <c r="H499" s="33" t="s">
        <v>245</v>
      </c>
      <c r="I499" s="70"/>
      <c r="J499" s="70"/>
      <c r="K499" s="70"/>
    </row>
    <row r="500" customFormat="false" ht="23.25" hidden="false" customHeight="true" outlineLevel="0" collapsed="false">
      <c r="A500" s="69" t="s">
        <v>1327</v>
      </c>
      <c r="B500" s="13" t="s">
        <v>29</v>
      </c>
      <c r="C500" s="30" t="s">
        <v>1610</v>
      </c>
      <c r="D500" s="31" t="s">
        <v>1602</v>
      </c>
      <c r="E500" s="31" t="s">
        <v>1603</v>
      </c>
      <c r="F500" s="31" t="s">
        <v>1604</v>
      </c>
      <c r="G500" s="31" t="s">
        <v>115</v>
      </c>
      <c r="H500" s="33" t="s">
        <v>753</v>
      </c>
      <c r="I500" s="70"/>
      <c r="J500" s="70"/>
      <c r="K500" s="70"/>
    </row>
    <row r="501" customFormat="false" ht="23.25" hidden="false" customHeight="true" outlineLevel="0" collapsed="false">
      <c r="A501" s="69" t="s">
        <v>1327</v>
      </c>
      <c r="B501" s="13" t="s">
        <v>29</v>
      </c>
      <c r="C501" s="30" t="s">
        <v>1611</v>
      </c>
      <c r="D501" s="31" t="s">
        <v>1602</v>
      </c>
      <c r="E501" s="31" t="s">
        <v>1603</v>
      </c>
      <c r="F501" s="31" t="s">
        <v>1604</v>
      </c>
      <c r="G501" s="31" t="s">
        <v>115</v>
      </c>
      <c r="H501" s="33" t="s">
        <v>739</v>
      </c>
      <c r="I501" s="70"/>
      <c r="J501" s="70"/>
      <c r="K501" s="70"/>
    </row>
    <row r="502" customFormat="false" ht="23.25" hidden="false" customHeight="true" outlineLevel="0" collapsed="false">
      <c r="A502" s="69" t="s">
        <v>1327</v>
      </c>
      <c r="B502" s="13" t="s">
        <v>29</v>
      </c>
      <c r="C502" s="30" t="s">
        <v>1612</v>
      </c>
      <c r="D502" s="31" t="s">
        <v>1602</v>
      </c>
      <c r="E502" s="31" t="s">
        <v>1603</v>
      </c>
      <c r="F502" s="31" t="s">
        <v>1604</v>
      </c>
      <c r="G502" s="31" t="s">
        <v>73</v>
      </c>
      <c r="H502" s="33" t="s">
        <v>265</v>
      </c>
      <c r="I502" s="70"/>
      <c r="J502" s="70"/>
      <c r="K502" s="70"/>
    </row>
    <row r="503" customFormat="false" ht="23.25" hidden="false" customHeight="true" outlineLevel="0" collapsed="false">
      <c r="A503" s="69" t="s">
        <v>1327</v>
      </c>
      <c r="B503" s="13" t="s">
        <v>29</v>
      </c>
      <c r="C503" s="30" t="s">
        <v>1613</v>
      </c>
      <c r="D503" s="31" t="s">
        <v>1602</v>
      </c>
      <c r="E503" s="31" t="s">
        <v>1603</v>
      </c>
      <c r="F503" s="31" t="s">
        <v>1604</v>
      </c>
      <c r="G503" s="31" t="s">
        <v>73</v>
      </c>
      <c r="H503" s="33" t="s">
        <v>267</v>
      </c>
      <c r="I503" s="70"/>
      <c r="J503" s="70"/>
      <c r="K503" s="70"/>
    </row>
    <row r="504" customFormat="false" ht="23.25" hidden="false" customHeight="true" outlineLevel="0" collapsed="false">
      <c r="A504" s="69" t="s">
        <v>1327</v>
      </c>
      <c r="B504" s="13" t="s">
        <v>29</v>
      </c>
      <c r="C504" s="30" t="s">
        <v>1614</v>
      </c>
      <c r="D504" s="31" t="s">
        <v>1602</v>
      </c>
      <c r="E504" s="31" t="s">
        <v>1603</v>
      </c>
      <c r="F504" s="31" t="s">
        <v>1604</v>
      </c>
      <c r="G504" s="31" t="s">
        <v>73</v>
      </c>
      <c r="H504" s="33" t="s">
        <v>269</v>
      </c>
      <c r="I504" s="70"/>
      <c r="J504" s="70"/>
      <c r="K504" s="70"/>
    </row>
    <row r="505" customFormat="false" ht="23.25" hidden="false" customHeight="true" outlineLevel="0" collapsed="false">
      <c r="A505" s="69" t="s">
        <v>1327</v>
      </c>
      <c r="B505" s="13" t="s">
        <v>29</v>
      </c>
      <c r="C505" s="30" t="s">
        <v>1615</v>
      </c>
      <c r="D505" s="31" t="s">
        <v>157</v>
      </c>
      <c r="E505" s="31" t="s">
        <v>1616</v>
      </c>
      <c r="F505" s="31" t="s">
        <v>1617</v>
      </c>
      <c r="G505" s="31" t="s">
        <v>1363</v>
      </c>
      <c r="H505" s="33" t="s">
        <v>245</v>
      </c>
      <c r="I505" s="70"/>
      <c r="J505" s="70"/>
      <c r="K505" s="70"/>
    </row>
    <row r="506" customFormat="false" ht="23.25" hidden="false" customHeight="true" outlineLevel="0" collapsed="false">
      <c r="A506" s="69" t="s">
        <v>1327</v>
      </c>
      <c r="B506" s="13" t="s">
        <v>29</v>
      </c>
      <c r="C506" s="30" t="s">
        <v>1618</v>
      </c>
      <c r="D506" s="31" t="s">
        <v>157</v>
      </c>
      <c r="E506" s="31" t="s">
        <v>1619</v>
      </c>
      <c r="F506" s="31" t="s">
        <v>1620</v>
      </c>
      <c r="G506" s="31" t="s">
        <v>73</v>
      </c>
      <c r="H506" s="33" t="s">
        <v>121</v>
      </c>
      <c r="I506" s="70"/>
      <c r="J506" s="70"/>
      <c r="K506" s="70"/>
    </row>
    <row r="507" customFormat="false" ht="23.25" hidden="false" customHeight="true" outlineLevel="0" collapsed="false">
      <c r="A507" s="69" t="s">
        <v>1327</v>
      </c>
      <c r="B507" s="13" t="s">
        <v>29</v>
      </c>
      <c r="C507" s="30" t="s">
        <v>1621</v>
      </c>
      <c r="D507" s="31" t="s">
        <v>157</v>
      </c>
      <c r="E507" s="31" t="s">
        <v>1619</v>
      </c>
      <c r="F507" s="31" t="s">
        <v>1620</v>
      </c>
      <c r="G507" s="31" t="s">
        <v>73</v>
      </c>
      <c r="H507" s="33" t="s">
        <v>139</v>
      </c>
      <c r="I507" s="70"/>
      <c r="J507" s="70"/>
      <c r="K507" s="70"/>
    </row>
    <row r="508" customFormat="false" ht="23.25" hidden="false" customHeight="true" outlineLevel="0" collapsed="false">
      <c r="A508" s="69" t="s">
        <v>1327</v>
      </c>
      <c r="B508" s="13" t="s">
        <v>29</v>
      </c>
      <c r="C508" s="30" t="s">
        <v>1622</v>
      </c>
      <c r="D508" s="31" t="s">
        <v>157</v>
      </c>
      <c r="E508" s="31" t="s">
        <v>1619</v>
      </c>
      <c r="F508" s="31" t="s">
        <v>1620</v>
      </c>
      <c r="G508" s="31" t="s">
        <v>73</v>
      </c>
      <c r="H508" s="33" t="s">
        <v>302</v>
      </c>
      <c r="I508" s="70"/>
      <c r="J508" s="70"/>
      <c r="K508" s="70"/>
    </row>
    <row r="509" customFormat="false" ht="23.25" hidden="false" customHeight="true" outlineLevel="0" collapsed="false">
      <c r="A509" s="69" t="s">
        <v>1327</v>
      </c>
      <c r="B509" s="13" t="s">
        <v>29</v>
      </c>
      <c r="C509" s="30" t="s">
        <v>1623</v>
      </c>
      <c r="D509" s="31" t="s">
        <v>157</v>
      </c>
      <c r="E509" s="31" t="s">
        <v>1619</v>
      </c>
      <c r="F509" s="31" t="s">
        <v>1620</v>
      </c>
      <c r="G509" s="31" t="s">
        <v>73</v>
      </c>
      <c r="H509" s="33" t="s">
        <v>130</v>
      </c>
      <c r="I509" s="70"/>
      <c r="J509" s="70"/>
      <c r="K509" s="70"/>
    </row>
    <row r="510" customFormat="false" ht="23.25" hidden="false" customHeight="true" outlineLevel="0" collapsed="false">
      <c r="A510" s="69" t="s">
        <v>1327</v>
      </c>
      <c r="B510" s="13" t="s">
        <v>29</v>
      </c>
      <c r="C510" s="30" t="s">
        <v>1624</v>
      </c>
      <c r="D510" s="31" t="s">
        <v>157</v>
      </c>
      <c r="E510" s="31" t="s">
        <v>1619</v>
      </c>
      <c r="F510" s="31" t="s">
        <v>1620</v>
      </c>
      <c r="G510" s="31" t="s">
        <v>73</v>
      </c>
      <c r="H510" s="33" t="s">
        <v>255</v>
      </c>
      <c r="I510" s="70"/>
      <c r="J510" s="70"/>
      <c r="K510" s="70"/>
    </row>
    <row r="511" customFormat="false" ht="23.25" hidden="false" customHeight="true" outlineLevel="0" collapsed="false">
      <c r="A511" s="69" t="s">
        <v>1327</v>
      </c>
      <c r="B511" s="13" t="s">
        <v>29</v>
      </c>
      <c r="C511" s="30" t="s">
        <v>1625</v>
      </c>
      <c r="D511" s="31" t="s">
        <v>157</v>
      </c>
      <c r="E511" s="31" t="s">
        <v>1619</v>
      </c>
      <c r="F511" s="31" t="s">
        <v>1620</v>
      </c>
      <c r="G511" s="31" t="s">
        <v>73</v>
      </c>
      <c r="H511" s="33" t="s">
        <v>257</v>
      </c>
      <c r="I511" s="70"/>
      <c r="J511" s="70"/>
      <c r="K511" s="70"/>
    </row>
    <row r="512" customFormat="false" ht="23.25" hidden="false" customHeight="true" outlineLevel="0" collapsed="false">
      <c r="A512" s="69" t="s">
        <v>1327</v>
      </c>
      <c r="B512" s="13" t="s">
        <v>29</v>
      </c>
      <c r="C512" s="30" t="s">
        <v>1626</v>
      </c>
      <c r="D512" s="31" t="s">
        <v>157</v>
      </c>
      <c r="E512" s="31" t="s">
        <v>1619</v>
      </c>
      <c r="F512" s="31" t="s">
        <v>1620</v>
      </c>
      <c r="G512" s="31" t="s">
        <v>73</v>
      </c>
      <c r="H512" s="33" t="s">
        <v>259</v>
      </c>
      <c r="I512" s="70"/>
      <c r="J512" s="70"/>
      <c r="K512" s="70"/>
    </row>
    <row r="513" customFormat="false" ht="23.25" hidden="false" customHeight="true" outlineLevel="0" collapsed="false">
      <c r="A513" s="69" t="s">
        <v>1327</v>
      </c>
      <c r="B513" s="13" t="s">
        <v>29</v>
      </c>
      <c r="C513" s="30" t="s">
        <v>1627</v>
      </c>
      <c r="D513" s="31" t="s">
        <v>157</v>
      </c>
      <c r="E513" s="31" t="s">
        <v>1619</v>
      </c>
      <c r="F513" s="31" t="s">
        <v>1620</v>
      </c>
      <c r="G513" s="31" t="s">
        <v>73</v>
      </c>
      <c r="H513" s="33" t="s">
        <v>261</v>
      </c>
      <c r="I513" s="70"/>
      <c r="J513" s="70"/>
      <c r="K513" s="70"/>
    </row>
    <row r="514" customFormat="false" ht="23.25" hidden="false" customHeight="true" outlineLevel="0" collapsed="false">
      <c r="A514" s="69" t="s">
        <v>1327</v>
      </c>
      <c r="B514" s="13" t="s">
        <v>29</v>
      </c>
      <c r="C514" s="30" t="s">
        <v>1628</v>
      </c>
      <c r="D514" s="31" t="s">
        <v>157</v>
      </c>
      <c r="E514" s="31" t="s">
        <v>1619</v>
      </c>
      <c r="F514" s="31" t="s">
        <v>1620</v>
      </c>
      <c r="G514" s="31" t="s">
        <v>73</v>
      </c>
      <c r="H514" s="33" t="s">
        <v>249</v>
      </c>
      <c r="I514" s="70"/>
      <c r="J514" s="70"/>
      <c r="K514" s="70"/>
    </row>
    <row r="515" customFormat="false" ht="23.25" hidden="false" customHeight="true" outlineLevel="0" collapsed="false">
      <c r="A515" s="69" t="s">
        <v>1327</v>
      </c>
      <c r="B515" s="13" t="s">
        <v>29</v>
      </c>
      <c r="C515" s="30" t="s">
        <v>1629</v>
      </c>
      <c r="D515" s="31" t="s">
        <v>157</v>
      </c>
      <c r="E515" s="31" t="s">
        <v>1619</v>
      </c>
      <c r="F515" s="31" t="s">
        <v>1620</v>
      </c>
      <c r="G515" s="31" t="s">
        <v>73</v>
      </c>
      <c r="H515" s="33" t="s">
        <v>340</v>
      </c>
      <c r="I515" s="70"/>
      <c r="J515" s="70"/>
      <c r="K515" s="70"/>
    </row>
    <row r="516" customFormat="false" ht="23.25" hidden="false" customHeight="true" outlineLevel="0" collapsed="false">
      <c r="A516" s="69" t="s">
        <v>1327</v>
      </c>
      <c r="B516" s="13" t="s">
        <v>29</v>
      </c>
      <c r="C516" s="30" t="s">
        <v>1630</v>
      </c>
      <c r="D516" s="31" t="s">
        <v>157</v>
      </c>
      <c r="E516" s="31" t="s">
        <v>1619</v>
      </c>
      <c r="F516" s="31" t="s">
        <v>1620</v>
      </c>
      <c r="G516" s="31" t="s">
        <v>73</v>
      </c>
      <c r="H516" s="33" t="s">
        <v>287</v>
      </c>
      <c r="I516" s="70"/>
      <c r="J516" s="70"/>
      <c r="K516" s="70"/>
    </row>
    <row r="517" customFormat="false" ht="23.25" hidden="false" customHeight="true" outlineLevel="0" collapsed="false">
      <c r="A517" s="69" t="s">
        <v>1327</v>
      </c>
      <c r="B517" s="13" t="s">
        <v>29</v>
      </c>
      <c r="C517" s="30" t="s">
        <v>1631</v>
      </c>
      <c r="D517" s="31" t="s">
        <v>157</v>
      </c>
      <c r="E517" s="31" t="s">
        <v>1619</v>
      </c>
      <c r="F517" s="31" t="s">
        <v>1620</v>
      </c>
      <c r="G517" s="31" t="s">
        <v>73</v>
      </c>
      <c r="H517" s="33" t="s">
        <v>1160</v>
      </c>
      <c r="I517" s="70"/>
      <c r="J517" s="70"/>
      <c r="K517" s="70"/>
    </row>
    <row r="518" customFormat="false" ht="23.25" hidden="false" customHeight="true" outlineLevel="0" collapsed="false">
      <c r="A518" s="69" t="s">
        <v>1327</v>
      </c>
      <c r="B518" s="13" t="s">
        <v>29</v>
      </c>
      <c r="C518" s="30" t="s">
        <v>1632</v>
      </c>
      <c r="D518" s="31" t="s">
        <v>157</v>
      </c>
      <c r="E518" s="31" t="s">
        <v>1619</v>
      </c>
      <c r="F518" s="31" t="s">
        <v>1620</v>
      </c>
      <c r="G518" s="31" t="s">
        <v>73</v>
      </c>
      <c r="H518" s="33" t="s">
        <v>1162</v>
      </c>
      <c r="I518" s="70"/>
      <c r="J518" s="70"/>
      <c r="K518" s="70"/>
    </row>
    <row r="519" customFormat="false" ht="23.25" hidden="false" customHeight="true" outlineLevel="0" collapsed="false">
      <c r="A519" s="69" t="s">
        <v>1327</v>
      </c>
      <c r="B519" s="13" t="s">
        <v>29</v>
      </c>
      <c r="C519" s="30" t="s">
        <v>1633</v>
      </c>
      <c r="D519" s="31" t="s">
        <v>157</v>
      </c>
      <c r="E519" s="31" t="s">
        <v>1619</v>
      </c>
      <c r="F519" s="31" t="s">
        <v>1620</v>
      </c>
      <c r="G519" s="31" t="s">
        <v>73</v>
      </c>
      <c r="H519" s="33" t="s">
        <v>1164</v>
      </c>
      <c r="I519" s="70"/>
      <c r="J519" s="70"/>
      <c r="K519" s="70"/>
    </row>
    <row r="520" customFormat="false" ht="23.25" hidden="false" customHeight="true" outlineLevel="0" collapsed="false">
      <c r="A520" s="69" t="s">
        <v>1327</v>
      </c>
      <c r="B520" s="13" t="s">
        <v>29</v>
      </c>
      <c r="C520" s="30" t="s">
        <v>1634</v>
      </c>
      <c r="D520" s="31" t="s">
        <v>157</v>
      </c>
      <c r="E520" s="31" t="s">
        <v>1619</v>
      </c>
      <c r="F520" s="31" t="s">
        <v>1620</v>
      </c>
      <c r="G520" s="31" t="s">
        <v>73</v>
      </c>
      <c r="H520" s="33" t="s">
        <v>263</v>
      </c>
      <c r="I520" s="70"/>
      <c r="J520" s="70"/>
      <c r="K520" s="70"/>
    </row>
    <row r="521" customFormat="false" ht="23.25" hidden="false" customHeight="true" outlineLevel="0" collapsed="false">
      <c r="A521" s="69" t="s">
        <v>1327</v>
      </c>
      <c r="B521" s="13" t="s">
        <v>29</v>
      </c>
      <c r="C521" s="30" t="s">
        <v>1635</v>
      </c>
      <c r="D521" s="31" t="s">
        <v>157</v>
      </c>
      <c r="E521" s="31" t="s">
        <v>1619</v>
      </c>
      <c r="F521" s="31" t="s">
        <v>1620</v>
      </c>
      <c r="G521" s="31" t="s">
        <v>73</v>
      </c>
      <c r="H521" s="33" t="s">
        <v>265</v>
      </c>
      <c r="I521" s="70"/>
      <c r="J521" s="70"/>
      <c r="K521" s="70"/>
    </row>
    <row r="522" customFormat="false" ht="23.25" hidden="false" customHeight="true" outlineLevel="0" collapsed="false">
      <c r="A522" s="69" t="s">
        <v>1327</v>
      </c>
      <c r="B522" s="13" t="s">
        <v>29</v>
      </c>
      <c r="C522" s="30" t="s">
        <v>1636</v>
      </c>
      <c r="D522" s="31" t="s">
        <v>157</v>
      </c>
      <c r="E522" s="31" t="s">
        <v>1619</v>
      </c>
      <c r="F522" s="31" t="s">
        <v>1620</v>
      </c>
      <c r="G522" s="31" t="s">
        <v>73</v>
      </c>
      <c r="H522" s="33" t="s">
        <v>267</v>
      </c>
      <c r="I522" s="70"/>
      <c r="J522" s="70"/>
      <c r="K522" s="70"/>
    </row>
    <row r="523" customFormat="false" ht="23.25" hidden="false" customHeight="true" outlineLevel="0" collapsed="false">
      <c r="A523" s="69" t="s">
        <v>1327</v>
      </c>
      <c r="B523" s="13" t="s">
        <v>29</v>
      </c>
      <c r="C523" s="30" t="s">
        <v>1637</v>
      </c>
      <c r="D523" s="31" t="s">
        <v>157</v>
      </c>
      <c r="E523" s="31" t="s">
        <v>1619</v>
      </c>
      <c r="F523" s="31" t="s">
        <v>1620</v>
      </c>
      <c r="G523" s="31" t="s">
        <v>73</v>
      </c>
      <c r="H523" s="33" t="s">
        <v>269</v>
      </c>
      <c r="I523" s="70"/>
      <c r="J523" s="70"/>
      <c r="K523" s="70"/>
    </row>
    <row r="524" customFormat="false" ht="23.25" hidden="false" customHeight="true" outlineLevel="0" collapsed="false">
      <c r="A524" s="69" t="s">
        <v>1327</v>
      </c>
      <c r="B524" s="13" t="s">
        <v>29</v>
      </c>
      <c r="C524" s="30" t="s">
        <v>1638</v>
      </c>
      <c r="D524" s="31" t="s">
        <v>157</v>
      </c>
      <c r="E524" s="31" t="s">
        <v>1619</v>
      </c>
      <c r="F524" s="31" t="s">
        <v>1620</v>
      </c>
      <c r="G524" s="31" t="s">
        <v>73</v>
      </c>
      <c r="H524" s="33" t="s">
        <v>271</v>
      </c>
      <c r="I524" s="70"/>
      <c r="J524" s="70"/>
      <c r="K524" s="70"/>
    </row>
    <row r="525" customFormat="false" ht="23.25" hidden="false" customHeight="true" outlineLevel="0" collapsed="false">
      <c r="A525" s="69" t="s">
        <v>1327</v>
      </c>
      <c r="B525" s="13" t="s">
        <v>29</v>
      </c>
      <c r="C525" s="30" t="s">
        <v>1639</v>
      </c>
      <c r="D525" s="31" t="s">
        <v>157</v>
      </c>
      <c r="E525" s="31" t="s">
        <v>1619</v>
      </c>
      <c r="F525" s="31" t="s">
        <v>1620</v>
      </c>
      <c r="G525" s="31" t="s">
        <v>73</v>
      </c>
      <c r="H525" s="33" t="s">
        <v>1069</v>
      </c>
      <c r="I525" s="70"/>
      <c r="J525" s="70"/>
      <c r="K525" s="70"/>
    </row>
    <row r="526" customFormat="false" ht="23.25" hidden="false" customHeight="true" outlineLevel="0" collapsed="false">
      <c r="A526" s="69" t="s">
        <v>1327</v>
      </c>
      <c r="B526" s="13" t="s">
        <v>29</v>
      </c>
      <c r="C526" s="30" t="s">
        <v>1640</v>
      </c>
      <c r="D526" s="31" t="s">
        <v>157</v>
      </c>
      <c r="E526" s="31" t="s">
        <v>1619</v>
      </c>
      <c r="F526" s="31" t="s">
        <v>1620</v>
      </c>
      <c r="G526" s="31" t="s">
        <v>73</v>
      </c>
      <c r="H526" s="33" t="s">
        <v>1074</v>
      </c>
      <c r="I526" s="70"/>
      <c r="J526" s="70"/>
      <c r="K526" s="70"/>
    </row>
    <row r="527" customFormat="false" ht="23.25" hidden="false" customHeight="true" outlineLevel="0" collapsed="false">
      <c r="A527" s="69" t="s">
        <v>1327</v>
      </c>
      <c r="B527" s="13" t="s">
        <v>29</v>
      </c>
      <c r="C527" s="30" t="s">
        <v>1641</v>
      </c>
      <c r="D527" s="31" t="s">
        <v>157</v>
      </c>
      <c r="E527" s="31" t="s">
        <v>1619</v>
      </c>
      <c r="F527" s="31" t="s">
        <v>1620</v>
      </c>
      <c r="G527" s="31" t="s">
        <v>73</v>
      </c>
      <c r="H527" s="33" t="s">
        <v>1072</v>
      </c>
      <c r="I527" s="70"/>
      <c r="J527" s="70"/>
      <c r="K527" s="70"/>
    </row>
    <row r="528" customFormat="false" ht="23.25" hidden="false" customHeight="true" outlineLevel="0" collapsed="false">
      <c r="A528" s="69" t="s">
        <v>1327</v>
      </c>
      <c r="B528" s="13" t="s">
        <v>29</v>
      </c>
      <c r="C528" s="30" t="s">
        <v>1642</v>
      </c>
      <c r="D528" s="31" t="s">
        <v>157</v>
      </c>
      <c r="E528" s="31" t="s">
        <v>1619</v>
      </c>
      <c r="F528" s="31" t="s">
        <v>1620</v>
      </c>
      <c r="G528" s="31" t="s">
        <v>73</v>
      </c>
      <c r="H528" s="33" t="s">
        <v>1104</v>
      </c>
      <c r="I528" s="70"/>
      <c r="J528" s="70"/>
      <c r="K528" s="70"/>
    </row>
    <row r="529" customFormat="false" ht="23.25" hidden="false" customHeight="true" outlineLevel="0" collapsed="false">
      <c r="A529" s="69" t="s">
        <v>1327</v>
      </c>
      <c r="B529" s="13" t="s">
        <v>29</v>
      </c>
      <c r="C529" s="30" t="s">
        <v>1643</v>
      </c>
      <c r="D529" s="31" t="s">
        <v>157</v>
      </c>
      <c r="E529" s="31" t="s">
        <v>1619</v>
      </c>
      <c r="F529" s="31" t="s">
        <v>1620</v>
      </c>
      <c r="G529" s="31" t="s">
        <v>73</v>
      </c>
      <c r="H529" s="33" t="s">
        <v>1057</v>
      </c>
      <c r="I529" s="70"/>
      <c r="J529" s="70"/>
      <c r="K529" s="70"/>
    </row>
    <row r="530" customFormat="false" ht="23.25" hidden="false" customHeight="true" outlineLevel="0" collapsed="false">
      <c r="A530" s="69" t="s">
        <v>1327</v>
      </c>
      <c r="B530" s="13" t="s">
        <v>29</v>
      </c>
      <c r="C530" s="30" t="s">
        <v>1644</v>
      </c>
      <c r="D530" s="31" t="s">
        <v>157</v>
      </c>
      <c r="E530" s="31" t="s">
        <v>1619</v>
      </c>
      <c r="F530" s="31" t="s">
        <v>1620</v>
      </c>
      <c r="G530" s="31" t="s">
        <v>73</v>
      </c>
      <c r="H530" s="33" t="s">
        <v>1175</v>
      </c>
      <c r="I530" s="70"/>
      <c r="J530" s="70"/>
      <c r="K530" s="70"/>
    </row>
    <row r="531" customFormat="false" ht="23.25" hidden="false" customHeight="true" outlineLevel="0" collapsed="false">
      <c r="A531" s="69" t="s">
        <v>1327</v>
      </c>
      <c r="B531" s="13" t="s">
        <v>29</v>
      </c>
      <c r="C531" s="30" t="s">
        <v>1645</v>
      </c>
      <c r="D531" s="31" t="s">
        <v>157</v>
      </c>
      <c r="E531" s="31" t="s">
        <v>1619</v>
      </c>
      <c r="F531" s="31" t="s">
        <v>1620</v>
      </c>
      <c r="G531" s="31" t="s">
        <v>73</v>
      </c>
      <c r="H531" s="33" t="s">
        <v>1177</v>
      </c>
      <c r="I531" s="70"/>
      <c r="J531" s="70"/>
      <c r="K531" s="70"/>
    </row>
    <row r="532" customFormat="false" ht="23.25" hidden="false" customHeight="true" outlineLevel="0" collapsed="false">
      <c r="A532" s="69" t="s">
        <v>1327</v>
      </c>
      <c r="B532" s="13" t="s">
        <v>29</v>
      </c>
      <c r="C532" s="30" t="s">
        <v>1646</v>
      </c>
      <c r="D532" s="31" t="s">
        <v>157</v>
      </c>
      <c r="E532" s="31" t="s">
        <v>1619</v>
      </c>
      <c r="F532" s="31" t="s">
        <v>1620</v>
      </c>
      <c r="G532" s="31" t="s">
        <v>73</v>
      </c>
      <c r="H532" s="33" t="s">
        <v>1179</v>
      </c>
      <c r="I532" s="70"/>
      <c r="J532" s="70"/>
      <c r="K532" s="70"/>
    </row>
    <row r="533" customFormat="false" ht="23.25" hidden="false" customHeight="true" outlineLevel="0" collapsed="false">
      <c r="A533" s="69" t="s">
        <v>1327</v>
      </c>
      <c r="B533" s="13" t="s">
        <v>29</v>
      </c>
      <c r="C533" s="30" t="s">
        <v>1647</v>
      </c>
      <c r="D533" s="31" t="s">
        <v>157</v>
      </c>
      <c r="E533" s="31" t="s">
        <v>1619</v>
      </c>
      <c r="F533" s="31" t="s">
        <v>1620</v>
      </c>
      <c r="G533" s="31" t="s">
        <v>107</v>
      </c>
      <c r="H533" s="33" t="s">
        <v>277</v>
      </c>
      <c r="I533" s="70"/>
      <c r="J533" s="70"/>
      <c r="K533" s="70"/>
    </row>
    <row r="534" customFormat="false" ht="23.25" hidden="false" customHeight="true" outlineLevel="0" collapsed="false">
      <c r="A534" s="69" t="s">
        <v>1327</v>
      </c>
      <c r="B534" s="13" t="s">
        <v>29</v>
      </c>
      <c r="C534" s="30" t="s">
        <v>1648</v>
      </c>
      <c r="D534" s="31" t="s">
        <v>157</v>
      </c>
      <c r="E534" s="31" t="s">
        <v>1619</v>
      </c>
      <c r="F534" s="31" t="s">
        <v>1620</v>
      </c>
      <c r="G534" s="31" t="s">
        <v>107</v>
      </c>
      <c r="H534" s="33" t="s">
        <v>245</v>
      </c>
      <c r="I534" s="70"/>
      <c r="J534" s="70"/>
      <c r="K534" s="70"/>
    </row>
    <row r="535" customFormat="false" ht="23.25" hidden="false" customHeight="true" outlineLevel="0" collapsed="false">
      <c r="A535" s="69" t="s">
        <v>1327</v>
      </c>
      <c r="B535" s="13" t="s">
        <v>36</v>
      </c>
      <c r="C535" s="30" t="s">
        <v>1649</v>
      </c>
      <c r="D535" s="31" t="s">
        <v>157</v>
      </c>
      <c r="E535" s="31" t="s">
        <v>1593</v>
      </c>
      <c r="F535" s="31" t="s">
        <v>1594</v>
      </c>
      <c r="G535" s="31" t="s">
        <v>85</v>
      </c>
      <c r="H535" s="33" t="s">
        <v>170</v>
      </c>
      <c r="I535" s="70"/>
      <c r="J535" s="70"/>
      <c r="K535" s="70"/>
    </row>
    <row r="536" customFormat="false" ht="23.25" hidden="false" customHeight="true" outlineLevel="0" collapsed="false">
      <c r="A536" s="69" t="s">
        <v>1327</v>
      </c>
      <c r="B536" s="13" t="s">
        <v>36</v>
      </c>
      <c r="C536" s="30" t="s">
        <v>1650</v>
      </c>
      <c r="D536" s="31" t="s">
        <v>157</v>
      </c>
      <c r="E536" s="31" t="s">
        <v>1593</v>
      </c>
      <c r="F536" s="31" t="s">
        <v>1594</v>
      </c>
      <c r="G536" s="31" t="s">
        <v>85</v>
      </c>
      <c r="H536" s="33" t="s">
        <v>90</v>
      </c>
      <c r="I536" s="70"/>
      <c r="J536" s="70"/>
      <c r="K536" s="70"/>
    </row>
    <row r="537" customFormat="false" ht="23.25" hidden="false" customHeight="true" outlineLevel="0" collapsed="false">
      <c r="A537" s="69" t="s">
        <v>1327</v>
      </c>
      <c r="B537" s="13" t="s">
        <v>36</v>
      </c>
      <c r="C537" s="30" t="s">
        <v>1651</v>
      </c>
      <c r="D537" s="31" t="s">
        <v>157</v>
      </c>
      <c r="E537" s="31" t="s">
        <v>1593</v>
      </c>
      <c r="F537" s="31" t="s">
        <v>1594</v>
      </c>
      <c r="G537" s="31" t="s">
        <v>85</v>
      </c>
      <c r="H537" s="33" t="s">
        <v>166</v>
      </c>
      <c r="I537" s="70"/>
      <c r="J537" s="70"/>
      <c r="K537" s="70"/>
    </row>
    <row r="538" customFormat="false" ht="23.25" hidden="false" customHeight="true" outlineLevel="0" collapsed="false">
      <c r="A538" s="69" t="s">
        <v>1327</v>
      </c>
      <c r="B538" s="13" t="s">
        <v>36</v>
      </c>
      <c r="C538" s="30" t="s">
        <v>1652</v>
      </c>
      <c r="D538" s="31" t="s">
        <v>157</v>
      </c>
      <c r="E538" s="31" t="s">
        <v>1593</v>
      </c>
      <c r="F538" s="31" t="s">
        <v>1594</v>
      </c>
      <c r="G538" s="31" t="s">
        <v>85</v>
      </c>
      <c r="H538" s="33" t="s">
        <v>168</v>
      </c>
      <c r="I538" s="70"/>
      <c r="J538" s="70"/>
      <c r="K538" s="70"/>
    </row>
    <row r="539" customFormat="false" ht="23.25" hidden="false" customHeight="true" outlineLevel="0" collapsed="false">
      <c r="A539" s="69" t="s">
        <v>1327</v>
      </c>
      <c r="B539" s="13" t="s">
        <v>36</v>
      </c>
      <c r="C539" s="30" t="s">
        <v>1653</v>
      </c>
      <c r="D539" s="31" t="s">
        <v>157</v>
      </c>
      <c r="E539" s="31" t="s">
        <v>1593</v>
      </c>
      <c r="F539" s="31" t="s">
        <v>1594</v>
      </c>
      <c r="G539" s="31" t="s">
        <v>85</v>
      </c>
      <c r="H539" s="33" t="s">
        <v>74</v>
      </c>
      <c r="I539" s="70"/>
      <c r="J539" s="70"/>
      <c r="K539" s="70"/>
    </row>
    <row r="540" customFormat="false" ht="23.25" hidden="false" customHeight="true" outlineLevel="0" collapsed="false">
      <c r="A540" s="69" t="s">
        <v>1327</v>
      </c>
      <c r="B540" s="13" t="s">
        <v>26</v>
      </c>
      <c r="C540" s="30" t="s">
        <v>1654</v>
      </c>
      <c r="D540" s="31" t="s">
        <v>1655</v>
      </c>
      <c r="E540" s="31" t="s">
        <v>1656</v>
      </c>
      <c r="F540" s="31" t="s">
        <v>1657</v>
      </c>
      <c r="G540" s="31" t="s">
        <v>1363</v>
      </c>
      <c r="H540" s="33" t="s">
        <v>277</v>
      </c>
      <c r="I540" s="70"/>
      <c r="J540" s="70"/>
      <c r="K540" s="70"/>
    </row>
    <row r="541" customFormat="false" ht="23.25" hidden="false" customHeight="true" outlineLevel="0" collapsed="false">
      <c r="A541" s="69" t="s">
        <v>1327</v>
      </c>
      <c r="B541" s="13" t="s">
        <v>26</v>
      </c>
      <c r="C541" s="30" t="s">
        <v>1658</v>
      </c>
      <c r="D541" s="31" t="s">
        <v>1655</v>
      </c>
      <c r="E541" s="31" t="s">
        <v>1659</v>
      </c>
      <c r="F541" s="31" t="s">
        <v>1660</v>
      </c>
      <c r="G541" s="31" t="s">
        <v>1363</v>
      </c>
      <c r="H541" s="33" t="s">
        <v>277</v>
      </c>
      <c r="I541" s="70"/>
      <c r="J541" s="70"/>
      <c r="K541" s="70"/>
    </row>
    <row r="542" customFormat="false" ht="23.25" hidden="false" customHeight="true" outlineLevel="0" collapsed="false">
      <c r="A542" s="69" t="s">
        <v>1327</v>
      </c>
      <c r="B542" s="13" t="s">
        <v>26</v>
      </c>
      <c r="C542" s="30" t="s">
        <v>1661</v>
      </c>
      <c r="D542" s="31" t="s">
        <v>1655</v>
      </c>
      <c r="E542" s="31" t="s">
        <v>1662</v>
      </c>
      <c r="F542" s="31" t="s">
        <v>1663</v>
      </c>
      <c r="G542" s="31" t="s">
        <v>1363</v>
      </c>
      <c r="H542" s="33" t="s">
        <v>277</v>
      </c>
      <c r="I542" s="70"/>
      <c r="J542" s="70"/>
      <c r="K542" s="70"/>
    </row>
    <row r="543" customFormat="false" ht="23.25" hidden="false" customHeight="true" outlineLevel="0" collapsed="false">
      <c r="A543" s="69" t="s">
        <v>1327</v>
      </c>
      <c r="B543" s="13" t="s">
        <v>26</v>
      </c>
      <c r="C543" s="30" t="s">
        <v>1664</v>
      </c>
      <c r="D543" s="31" t="s">
        <v>1655</v>
      </c>
      <c r="E543" s="31" t="s">
        <v>1665</v>
      </c>
      <c r="F543" s="31" t="s">
        <v>1666</v>
      </c>
      <c r="G543" s="31" t="s">
        <v>1363</v>
      </c>
      <c r="H543" s="33" t="s">
        <v>277</v>
      </c>
      <c r="I543" s="70"/>
      <c r="J543" s="70"/>
      <c r="K543" s="70"/>
    </row>
    <row r="544" customFormat="false" ht="23.25" hidden="false" customHeight="true" outlineLevel="0" collapsed="false">
      <c r="A544" s="69" t="s">
        <v>1327</v>
      </c>
      <c r="B544" s="13" t="s">
        <v>26</v>
      </c>
      <c r="C544" s="30" t="s">
        <v>1667</v>
      </c>
      <c r="D544" s="31" t="s">
        <v>1655</v>
      </c>
      <c r="E544" s="31" t="s">
        <v>1668</v>
      </c>
      <c r="F544" s="31" t="s">
        <v>1669</v>
      </c>
      <c r="G544" s="31" t="s">
        <v>1363</v>
      </c>
      <c r="H544" s="33" t="s">
        <v>277</v>
      </c>
      <c r="I544" s="70"/>
      <c r="J544" s="70"/>
      <c r="K544" s="70"/>
    </row>
    <row r="545" customFormat="false" ht="23.25" hidden="false" customHeight="true" outlineLevel="0" collapsed="false">
      <c r="A545" s="69" t="s">
        <v>1327</v>
      </c>
      <c r="B545" s="13" t="s">
        <v>31</v>
      </c>
      <c r="C545" s="30" t="s">
        <v>1670</v>
      </c>
      <c r="D545" s="31" t="s">
        <v>1189</v>
      </c>
      <c r="E545" s="31" t="s">
        <v>1671</v>
      </c>
      <c r="F545" s="31" t="s">
        <v>1672</v>
      </c>
      <c r="G545" s="31" t="s">
        <v>1363</v>
      </c>
      <c r="H545" s="33" t="s">
        <v>277</v>
      </c>
      <c r="I545" s="70"/>
      <c r="J545" s="70"/>
      <c r="K545" s="70"/>
    </row>
    <row r="546" customFormat="false" ht="23.25" hidden="false" customHeight="true" outlineLevel="0" collapsed="false">
      <c r="A546" s="69" t="s">
        <v>1327</v>
      </c>
      <c r="B546" s="13" t="s">
        <v>31</v>
      </c>
      <c r="C546" s="30" t="s">
        <v>1673</v>
      </c>
      <c r="D546" s="31" t="s">
        <v>1189</v>
      </c>
      <c r="E546" s="31" t="s">
        <v>1674</v>
      </c>
      <c r="F546" s="31" t="s">
        <v>1675</v>
      </c>
      <c r="G546" s="31" t="s">
        <v>1363</v>
      </c>
      <c r="H546" s="33" t="s">
        <v>277</v>
      </c>
      <c r="I546" s="70"/>
      <c r="J546" s="70"/>
      <c r="K546" s="70"/>
    </row>
    <row r="547" customFormat="false" ht="23.25" hidden="false" customHeight="true" outlineLevel="0" collapsed="false">
      <c r="A547" s="69" t="s">
        <v>1327</v>
      </c>
      <c r="B547" s="13" t="s">
        <v>26</v>
      </c>
      <c r="C547" s="30" t="s">
        <v>1676</v>
      </c>
      <c r="D547" s="31" t="s">
        <v>1267</v>
      </c>
      <c r="E547" s="31" t="s">
        <v>1677</v>
      </c>
      <c r="F547" s="31" t="s">
        <v>1678</v>
      </c>
      <c r="G547" s="31" t="s">
        <v>1062</v>
      </c>
      <c r="H547" s="33" t="s">
        <v>1236</v>
      </c>
      <c r="I547" s="70"/>
      <c r="J547" s="70"/>
      <c r="K547" s="70"/>
    </row>
    <row r="548" customFormat="false" ht="23.25" hidden="false" customHeight="true" outlineLevel="0" collapsed="false">
      <c r="A548" s="69" t="s">
        <v>1327</v>
      </c>
      <c r="B548" s="13" t="s">
        <v>26</v>
      </c>
      <c r="C548" s="30" t="s">
        <v>1679</v>
      </c>
      <c r="D548" s="31" t="s">
        <v>1267</v>
      </c>
      <c r="E548" s="31" t="s">
        <v>1680</v>
      </c>
      <c r="F548" s="31" t="s">
        <v>1681</v>
      </c>
      <c r="G548" s="31" t="s">
        <v>1062</v>
      </c>
      <c r="H548" s="33" t="s">
        <v>108</v>
      </c>
      <c r="I548" s="70"/>
      <c r="J548" s="70"/>
      <c r="K548" s="70"/>
    </row>
    <row r="549" customFormat="false" ht="23.25" hidden="false" customHeight="true" outlineLevel="0" collapsed="false">
      <c r="A549" s="69" t="s">
        <v>1327</v>
      </c>
      <c r="B549" s="13" t="s">
        <v>26</v>
      </c>
      <c r="C549" s="30" t="s">
        <v>1682</v>
      </c>
      <c r="D549" s="31" t="s">
        <v>1267</v>
      </c>
      <c r="E549" s="31" t="s">
        <v>1683</v>
      </c>
      <c r="F549" s="31" t="s">
        <v>1684</v>
      </c>
      <c r="G549" s="31" t="s">
        <v>1062</v>
      </c>
      <c r="H549" s="33" t="s">
        <v>1236</v>
      </c>
      <c r="I549" s="70"/>
      <c r="J549" s="70"/>
      <c r="K549" s="70"/>
    </row>
    <row r="550" customFormat="false" ht="23.25" hidden="false" customHeight="true" outlineLevel="0" collapsed="false">
      <c r="A550" s="69" t="s">
        <v>1327</v>
      </c>
      <c r="B550" s="13" t="s">
        <v>27</v>
      </c>
      <c r="C550" s="30" t="s">
        <v>1685</v>
      </c>
      <c r="D550" s="31" t="s">
        <v>1267</v>
      </c>
      <c r="E550" s="31" t="s">
        <v>1686</v>
      </c>
      <c r="F550" s="31" t="s">
        <v>1687</v>
      </c>
      <c r="G550" s="31" t="s">
        <v>1062</v>
      </c>
      <c r="H550" s="33" t="s">
        <v>277</v>
      </c>
      <c r="I550" s="70"/>
      <c r="J550" s="70"/>
      <c r="K550" s="70"/>
    </row>
    <row r="551" customFormat="false" ht="23.25" hidden="false" customHeight="true" outlineLevel="0" collapsed="false">
      <c r="A551" s="69" t="s">
        <v>1327</v>
      </c>
      <c r="B551" s="13" t="s">
        <v>27</v>
      </c>
      <c r="C551" s="30" t="s">
        <v>1688</v>
      </c>
      <c r="D551" s="31" t="s">
        <v>1267</v>
      </c>
      <c r="E551" s="31" t="s">
        <v>1689</v>
      </c>
      <c r="F551" s="31" t="s">
        <v>1690</v>
      </c>
      <c r="G551" s="31" t="s">
        <v>1062</v>
      </c>
      <c r="H551" s="33" t="s">
        <v>1236</v>
      </c>
      <c r="I551" s="70"/>
      <c r="J551" s="70"/>
      <c r="K551" s="70"/>
    </row>
    <row r="552" customFormat="false" ht="23.25" hidden="false" customHeight="true" outlineLevel="0" collapsed="false">
      <c r="A552" s="69" t="s">
        <v>1327</v>
      </c>
      <c r="B552" s="13" t="s">
        <v>27</v>
      </c>
      <c r="C552" s="30" t="s">
        <v>1691</v>
      </c>
      <c r="D552" s="31" t="s">
        <v>1267</v>
      </c>
      <c r="E552" s="31" t="s">
        <v>1692</v>
      </c>
      <c r="F552" s="31" t="s">
        <v>1693</v>
      </c>
      <c r="G552" s="31" t="s">
        <v>1062</v>
      </c>
      <c r="H552" s="33" t="s">
        <v>1236</v>
      </c>
      <c r="I552" s="70"/>
      <c r="J552" s="70"/>
      <c r="K552" s="70"/>
    </row>
    <row r="553" customFormat="false" ht="23.25" hidden="false" customHeight="true" outlineLevel="0" collapsed="false">
      <c r="A553" s="69" t="s">
        <v>1327</v>
      </c>
      <c r="B553" s="13" t="s">
        <v>27</v>
      </c>
      <c r="C553" s="30" t="s">
        <v>1694</v>
      </c>
      <c r="D553" s="31" t="s">
        <v>1267</v>
      </c>
      <c r="E553" s="31" t="s">
        <v>1695</v>
      </c>
      <c r="F553" s="31" t="s">
        <v>1696</v>
      </c>
      <c r="G553" s="31" t="s">
        <v>1062</v>
      </c>
      <c r="H553" s="33" t="s">
        <v>1236</v>
      </c>
      <c r="I553" s="70"/>
      <c r="J553" s="70"/>
      <c r="K553" s="70"/>
    </row>
    <row r="554" customFormat="false" ht="23.25" hidden="false" customHeight="true" outlineLevel="0" collapsed="false">
      <c r="A554" s="69" t="s">
        <v>1327</v>
      </c>
      <c r="B554" s="13" t="s">
        <v>27</v>
      </c>
      <c r="C554" s="34" t="s">
        <v>1697</v>
      </c>
      <c r="D554" s="35" t="s">
        <v>1267</v>
      </c>
      <c r="E554" s="35" t="s">
        <v>1698</v>
      </c>
      <c r="F554" s="35" t="s">
        <v>1699</v>
      </c>
      <c r="G554" s="35" t="s">
        <v>1062</v>
      </c>
      <c r="H554" s="37" t="s">
        <v>1236</v>
      </c>
      <c r="I554" s="70"/>
      <c r="J554" s="70"/>
      <c r="K554" s="70"/>
    </row>
    <row r="558" customFormat="false" ht="13.5" hidden="false" customHeight="true" outlineLevel="0" collapsed="false">
      <c r="A558" s="57" t="s">
        <v>45</v>
      </c>
      <c r="B558" s="45" t="s">
        <v>1</v>
      </c>
      <c r="C558" s="18" t="s">
        <v>47</v>
      </c>
      <c r="D558" s="19" t="s">
        <v>1051</v>
      </c>
      <c r="E558" s="19" t="s">
        <v>51</v>
      </c>
      <c r="F558" s="19" t="s">
        <v>52</v>
      </c>
      <c r="G558" s="19" t="s">
        <v>53</v>
      </c>
      <c r="H558" s="19" t="s">
        <v>54</v>
      </c>
      <c r="I558" s="21" t="s">
        <v>237</v>
      </c>
      <c r="J558" s="68"/>
      <c r="K558" s="68"/>
      <c r="L558" s="68"/>
    </row>
    <row r="559" customFormat="false" ht="23.25" hidden="false" customHeight="true" outlineLevel="0" collapsed="false">
      <c r="A559" s="69" t="s">
        <v>1700</v>
      </c>
      <c r="B559" s="13" t="s">
        <v>30</v>
      </c>
      <c r="C559" s="22" t="s">
        <v>1701</v>
      </c>
      <c r="D559" s="23" t="s">
        <v>1702</v>
      </c>
      <c r="E559" s="23" t="s">
        <v>1703</v>
      </c>
      <c r="F559" s="23" t="s">
        <v>1704</v>
      </c>
      <c r="G559" s="23" t="s">
        <v>1068</v>
      </c>
      <c r="H559" s="23" t="s">
        <v>175</v>
      </c>
      <c r="I559" s="25" t="s">
        <v>1705</v>
      </c>
      <c r="J559" s="70"/>
      <c r="K559" s="70"/>
      <c r="L559" s="70"/>
    </row>
    <row r="560" customFormat="false" ht="23.25" hidden="false" customHeight="true" outlineLevel="0" collapsed="false">
      <c r="A560" s="69" t="s">
        <v>1700</v>
      </c>
      <c r="B560" s="13" t="s">
        <v>31</v>
      </c>
      <c r="C560" s="22" t="s">
        <v>1706</v>
      </c>
      <c r="D560" s="23" t="s">
        <v>1707</v>
      </c>
      <c r="E560" s="23" t="s">
        <v>1708</v>
      </c>
      <c r="F560" s="23" t="s">
        <v>1709</v>
      </c>
      <c r="G560" s="23" t="s">
        <v>1710</v>
      </c>
      <c r="H560" s="23" t="s">
        <v>364</v>
      </c>
      <c r="I560" s="25" t="s">
        <v>1711</v>
      </c>
      <c r="J560" s="70"/>
      <c r="K560" s="70"/>
      <c r="L560" s="70"/>
    </row>
    <row r="561" customFormat="false" ht="23.25" hidden="false" customHeight="true" outlineLevel="0" collapsed="false">
      <c r="A561" s="69" t="s">
        <v>1700</v>
      </c>
      <c r="B561" s="13" t="s">
        <v>30</v>
      </c>
      <c r="C561" s="22" t="s">
        <v>1712</v>
      </c>
      <c r="D561" s="23" t="s">
        <v>1713</v>
      </c>
      <c r="E561" s="23" t="s">
        <v>1714</v>
      </c>
      <c r="F561" s="23" t="s">
        <v>1715</v>
      </c>
      <c r="G561" s="23" t="s">
        <v>1068</v>
      </c>
      <c r="H561" s="23" t="s">
        <v>108</v>
      </c>
      <c r="I561" s="25" t="s">
        <v>1716</v>
      </c>
      <c r="J561" s="70"/>
      <c r="K561" s="70"/>
      <c r="L561" s="70"/>
    </row>
    <row r="562" customFormat="false" ht="23.25" hidden="false" customHeight="true" outlineLevel="0" collapsed="false">
      <c r="A562" s="69" t="s">
        <v>1700</v>
      </c>
      <c r="B562" s="13" t="s">
        <v>30</v>
      </c>
      <c r="C562" s="22" t="s">
        <v>1717</v>
      </c>
      <c r="D562" s="23" t="s">
        <v>1718</v>
      </c>
      <c r="E562" s="23" t="s">
        <v>1719</v>
      </c>
      <c r="F562" s="23" t="s">
        <v>1720</v>
      </c>
      <c r="G562" s="23" t="s">
        <v>1068</v>
      </c>
      <c r="H562" s="23" t="s">
        <v>108</v>
      </c>
      <c r="I562" s="25" t="s">
        <v>1721</v>
      </c>
      <c r="J562" s="70"/>
      <c r="K562" s="70"/>
      <c r="L562" s="70"/>
    </row>
    <row r="563" customFormat="false" ht="23.25" hidden="false" customHeight="true" outlineLevel="0" collapsed="false">
      <c r="A563" s="69" t="s">
        <v>1700</v>
      </c>
      <c r="B563" s="13" t="s">
        <v>31</v>
      </c>
      <c r="C563" s="22" t="s">
        <v>1722</v>
      </c>
      <c r="D563" s="23" t="s">
        <v>1723</v>
      </c>
      <c r="E563" s="23" t="s">
        <v>1724</v>
      </c>
      <c r="F563" s="23" t="s">
        <v>1725</v>
      </c>
      <c r="G563" s="23" t="s">
        <v>1068</v>
      </c>
      <c r="H563" s="23" t="s">
        <v>175</v>
      </c>
      <c r="I563" s="25" t="s">
        <v>1726</v>
      </c>
      <c r="J563" s="70"/>
      <c r="K563" s="70"/>
      <c r="L563" s="70"/>
    </row>
    <row r="564" customFormat="false" ht="23.25" hidden="false" customHeight="true" outlineLevel="0" collapsed="false">
      <c r="A564" s="69" t="s">
        <v>1700</v>
      </c>
      <c r="B564" s="13" t="s">
        <v>31</v>
      </c>
      <c r="C564" s="22" t="s">
        <v>1727</v>
      </c>
      <c r="D564" s="23" t="s">
        <v>1728</v>
      </c>
      <c r="E564" s="23" t="s">
        <v>1729</v>
      </c>
      <c r="F564" s="23" t="s">
        <v>1730</v>
      </c>
      <c r="G564" s="23" t="s">
        <v>1068</v>
      </c>
      <c r="H564" s="23" t="s">
        <v>277</v>
      </c>
      <c r="I564" s="25" t="s">
        <v>1731</v>
      </c>
      <c r="J564" s="70"/>
      <c r="K564" s="70"/>
      <c r="L564" s="70"/>
    </row>
    <row r="565" customFormat="false" ht="23.25" hidden="false" customHeight="true" outlineLevel="0" collapsed="false">
      <c r="A565" s="69" t="s">
        <v>1700</v>
      </c>
      <c r="B565" s="13" t="s">
        <v>31</v>
      </c>
      <c r="C565" s="22" t="s">
        <v>1732</v>
      </c>
      <c r="D565" s="23" t="s">
        <v>1733</v>
      </c>
      <c r="E565" s="23" t="s">
        <v>1734</v>
      </c>
      <c r="F565" s="23" t="s">
        <v>1735</v>
      </c>
      <c r="G565" s="23" t="s">
        <v>1068</v>
      </c>
      <c r="H565" s="23" t="s">
        <v>175</v>
      </c>
      <c r="I565" s="25" t="s">
        <v>1736</v>
      </c>
      <c r="J565" s="70"/>
      <c r="K565" s="70"/>
      <c r="L565" s="70"/>
    </row>
    <row r="566" customFormat="false" ht="23.25" hidden="false" customHeight="true" outlineLevel="0" collapsed="false">
      <c r="A566" s="69" t="s">
        <v>1700</v>
      </c>
      <c r="B566" s="13" t="s">
        <v>30</v>
      </c>
      <c r="C566" s="22" t="s">
        <v>1737</v>
      </c>
      <c r="D566" s="23" t="s">
        <v>1738</v>
      </c>
      <c r="E566" s="23" t="s">
        <v>1739</v>
      </c>
      <c r="F566" s="23" t="s">
        <v>1740</v>
      </c>
      <c r="G566" s="23" t="s">
        <v>1710</v>
      </c>
      <c r="H566" s="23" t="s">
        <v>259</v>
      </c>
      <c r="I566" s="25" t="s">
        <v>1741</v>
      </c>
      <c r="J566" s="70"/>
      <c r="K566" s="70"/>
      <c r="L566" s="70"/>
    </row>
    <row r="567" customFormat="false" ht="23.25" hidden="false" customHeight="true" outlineLevel="0" collapsed="false">
      <c r="A567" s="69" t="s">
        <v>1700</v>
      </c>
      <c r="B567" s="13" t="s">
        <v>31</v>
      </c>
      <c r="C567" s="22" t="s">
        <v>1742</v>
      </c>
      <c r="D567" s="23" t="s">
        <v>1741</v>
      </c>
      <c r="E567" s="23" t="s">
        <v>1743</v>
      </c>
      <c r="F567" s="23" t="s">
        <v>1744</v>
      </c>
      <c r="G567" s="23" t="s">
        <v>1068</v>
      </c>
      <c r="H567" s="23" t="s">
        <v>277</v>
      </c>
      <c r="I567" s="25" t="s">
        <v>1745</v>
      </c>
      <c r="J567" s="70"/>
      <c r="K567" s="70"/>
      <c r="L567" s="70"/>
    </row>
    <row r="568" customFormat="false" ht="23.25" hidden="false" customHeight="true" outlineLevel="0" collapsed="false">
      <c r="A568" s="69" t="s">
        <v>1700</v>
      </c>
      <c r="B568" s="13" t="s">
        <v>27</v>
      </c>
      <c r="C568" s="22" t="s">
        <v>1746</v>
      </c>
      <c r="D568" s="23" t="s">
        <v>1747</v>
      </c>
      <c r="E568" s="23" t="s">
        <v>1748</v>
      </c>
      <c r="F568" s="23" t="s">
        <v>1749</v>
      </c>
      <c r="G568" s="23" t="s">
        <v>1710</v>
      </c>
      <c r="H568" s="23" t="s">
        <v>249</v>
      </c>
      <c r="I568" s="25" t="s">
        <v>1750</v>
      </c>
      <c r="J568" s="70"/>
      <c r="K568" s="70"/>
      <c r="L568" s="70"/>
    </row>
    <row r="569" customFormat="false" ht="23.25" hidden="false" customHeight="true" outlineLevel="0" collapsed="false">
      <c r="A569" s="69" t="s">
        <v>1700</v>
      </c>
      <c r="B569" s="13" t="s">
        <v>30</v>
      </c>
      <c r="C569" s="22" t="s">
        <v>1751</v>
      </c>
      <c r="D569" s="23" t="s">
        <v>1752</v>
      </c>
      <c r="E569" s="23" t="s">
        <v>1753</v>
      </c>
      <c r="F569" s="23" t="s">
        <v>1754</v>
      </c>
      <c r="G569" s="23" t="s">
        <v>1068</v>
      </c>
      <c r="H569" s="23" t="s">
        <v>108</v>
      </c>
      <c r="I569" s="25" t="s">
        <v>1755</v>
      </c>
      <c r="J569" s="70"/>
      <c r="K569" s="70"/>
      <c r="L569" s="70"/>
    </row>
    <row r="570" customFormat="false" ht="23.25" hidden="false" customHeight="true" outlineLevel="0" collapsed="false">
      <c r="A570" s="69" t="s">
        <v>1700</v>
      </c>
      <c r="B570" s="13" t="s">
        <v>30</v>
      </c>
      <c r="C570" s="22" t="s">
        <v>1756</v>
      </c>
      <c r="D570" s="23" t="s">
        <v>1755</v>
      </c>
      <c r="E570" s="23" t="s">
        <v>1757</v>
      </c>
      <c r="F570" s="23" t="s">
        <v>1758</v>
      </c>
      <c r="G570" s="23" t="s">
        <v>1068</v>
      </c>
      <c r="H570" s="23" t="s">
        <v>277</v>
      </c>
      <c r="I570" s="25" t="s">
        <v>1759</v>
      </c>
      <c r="J570" s="70"/>
      <c r="K570" s="70"/>
      <c r="L570" s="70"/>
    </row>
    <row r="571" customFormat="false" ht="23.25" hidden="false" customHeight="true" outlineLevel="0" collapsed="false">
      <c r="A571" s="69" t="s">
        <v>1700</v>
      </c>
      <c r="B571" s="13" t="s">
        <v>30</v>
      </c>
      <c r="C571" s="22" t="s">
        <v>1760</v>
      </c>
      <c r="D571" s="23" t="s">
        <v>1761</v>
      </c>
      <c r="E571" s="23" t="s">
        <v>1762</v>
      </c>
      <c r="F571" s="23" t="s">
        <v>1763</v>
      </c>
      <c r="G571" s="23" t="s">
        <v>1068</v>
      </c>
      <c r="H571" s="23" t="s">
        <v>245</v>
      </c>
      <c r="I571" s="25" t="s">
        <v>1764</v>
      </c>
      <c r="J571" s="70"/>
      <c r="K571" s="70"/>
      <c r="L571" s="70"/>
    </row>
    <row r="572" customFormat="false" ht="23.25" hidden="false" customHeight="true" outlineLevel="0" collapsed="false">
      <c r="A572" s="69" t="s">
        <v>1700</v>
      </c>
      <c r="B572" s="13" t="s">
        <v>31</v>
      </c>
      <c r="C572" s="22" t="s">
        <v>1765</v>
      </c>
      <c r="D572" s="23" t="s">
        <v>1766</v>
      </c>
      <c r="E572" s="23" t="s">
        <v>1767</v>
      </c>
      <c r="F572" s="23" t="s">
        <v>1768</v>
      </c>
      <c r="G572" s="23" t="s">
        <v>174</v>
      </c>
      <c r="H572" s="23" t="s">
        <v>1769</v>
      </c>
      <c r="I572" s="25" t="s">
        <v>1770</v>
      </c>
      <c r="J572" s="70"/>
      <c r="K572" s="70"/>
      <c r="L572" s="70"/>
    </row>
    <row r="573" customFormat="false" ht="23.25" hidden="false" customHeight="true" outlineLevel="0" collapsed="false">
      <c r="A573" s="69" t="s">
        <v>1700</v>
      </c>
      <c r="B573" s="13" t="s">
        <v>31</v>
      </c>
      <c r="C573" s="22" t="s">
        <v>1771</v>
      </c>
      <c r="D573" s="23" t="s">
        <v>1772</v>
      </c>
      <c r="E573" s="23" t="s">
        <v>1773</v>
      </c>
      <c r="F573" s="23" t="s">
        <v>1774</v>
      </c>
      <c r="G573" s="23" t="s">
        <v>1068</v>
      </c>
      <c r="H573" s="23" t="s">
        <v>277</v>
      </c>
      <c r="I573" s="25" t="s">
        <v>1775</v>
      </c>
      <c r="J573" s="70"/>
      <c r="K573" s="70"/>
      <c r="L573" s="70"/>
    </row>
    <row r="574" customFormat="false" ht="23.25" hidden="false" customHeight="true" outlineLevel="0" collapsed="false">
      <c r="A574" s="69" t="s">
        <v>1700</v>
      </c>
      <c r="B574" s="13" t="s">
        <v>32</v>
      </c>
      <c r="C574" s="22" t="s">
        <v>1776</v>
      </c>
      <c r="D574" s="23" t="s">
        <v>1777</v>
      </c>
      <c r="E574" s="23" t="s">
        <v>1778</v>
      </c>
      <c r="F574" s="23" t="s">
        <v>1779</v>
      </c>
      <c r="G574" s="23" t="s">
        <v>1068</v>
      </c>
      <c r="H574" s="23" t="s">
        <v>277</v>
      </c>
      <c r="I574" s="25" t="s">
        <v>1780</v>
      </c>
      <c r="J574" s="70"/>
      <c r="K574" s="70"/>
      <c r="L574" s="70"/>
    </row>
    <row r="575" customFormat="false" ht="23.25" hidden="false" customHeight="true" outlineLevel="0" collapsed="false">
      <c r="A575" s="69" t="s">
        <v>1700</v>
      </c>
      <c r="B575" s="13" t="s">
        <v>29</v>
      </c>
      <c r="C575" s="22" t="s">
        <v>1781</v>
      </c>
      <c r="D575" s="23" t="s">
        <v>1782</v>
      </c>
      <c r="E575" s="23" t="s">
        <v>1783</v>
      </c>
      <c r="F575" s="23" t="s">
        <v>1784</v>
      </c>
      <c r="G575" s="23" t="s">
        <v>174</v>
      </c>
      <c r="H575" s="23" t="s">
        <v>1785</v>
      </c>
      <c r="I575" s="25" t="s">
        <v>1780</v>
      </c>
      <c r="J575" s="70"/>
      <c r="K575" s="70"/>
      <c r="L575" s="70"/>
    </row>
    <row r="576" customFormat="false" ht="23.25" hidden="false" customHeight="true" outlineLevel="0" collapsed="false">
      <c r="A576" s="69" t="s">
        <v>1700</v>
      </c>
      <c r="B576" s="13" t="s">
        <v>32</v>
      </c>
      <c r="C576" s="22" t="s">
        <v>1786</v>
      </c>
      <c r="D576" s="23" t="s">
        <v>1787</v>
      </c>
      <c r="E576" s="23" t="s">
        <v>1788</v>
      </c>
      <c r="F576" s="23" t="s">
        <v>1789</v>
      </c>
      <c r="G576" s="23" t="s">
        <v>1068</v>
      </c>
      <c r="H576" s="23" t="s">
        <v>1132</v>
      </c>
      <c r="I576" s="25" t="s">
        <v>1790</v>
      </c>
      <c r="J576" s="70"/>
      <c r="K576" s="70"/>
      <c r="L576" s="70"/>
    </row>
    <row r="577" customFormat="false" ht="23.25" hidden="false" customHeight="true" outlineLevel="0" collapsed="false">
      <c r="A577" s="69" t="s">
        <v>1700</v>
      </c>
      <c r="B577" s="13" t="s">
        <v>32</v>
      </c>
      <c r="C577" s="22" t="s">
        <v>1791</v>
      </c>
      <c r="D577" s="23" t="s">
        <v>1360</v>
      </c>
      <c r="E577" s="23" t="s">
        <v>1788</v>
      </c>
      <c r="F577" s="23" t="s">
        <v>1789</v>
      </c>
      <c r="G577" s="23" t="s">
        <v>1068</v>
      </c>
      <c r="H577" s="23" t="s">
        <v>211</v>
      </c>
      <c r="I577" s="25" t="s">
        <v>1792</v>
      </c>
      <c r="J577" s="70"/>
      <c r="K577" s="70"/>
      <c r="L577" s="70"/>
    </row>
    <row r="578" customFormat="false" ht="23.25" hidden="false" customHeight="true" outlineLevel="0" collapsed="false">
      <c r="A578" s="69" t="s">
        <v>1700</v>
      </c>
      <c r="B578" s="13" t="s">
        <v>28</v>
      </c>
      <c r="C578" s="22" t="s">
        <v>1793</v>
      </c>
      <c r="D578" s="23" t="s">
        <v>1794</v>
      </c>
      <c r="E578" s="23" t="s">
        <v>1257</v>
      </c>
      <c r="F578" s="23" t="s">
        <v>1258</v>
      </c>
      <c r="G578" s="23" t="s">
        <v>1068</v>
      </c>
      <c r="H578" s="23" t="s">
        <v>209</v>
      </c>
      <c r="I578" s="25" t="s">
        <v>1795</v>
      </c>
      <c r="J578" s="70"/>
      <c r="K578" s="70"/>
      <c r="L578" s="70"/>
    </row>
    <row r="579" customFormat="false" ht="23.25" hidden="false" customHeight="true" outlineLevel="0" collapsed="false">
      <c r="A579" s="69" t="s">
        <v>1700</v>
      </c>
      <c r="B579" s="13" t="s">
        <v>28</v>
      </c>
      <c r="C579" s="22" t="s">
        <v>1796</v>
      </c>
      <c r="D579" s="23" t="s">
        <v>1794</v>
      </c>
      <c r="E579" s="23" t="s">
        <v>1257</v>
      </c>
      <c r="F579" s="23" t="s">
        <v>1258</v>
      </c>
      <c r="G579" s="23" t="s">
        <v>1068</v>
      </c>
      <c r="H579" s="23" t="s">
        <v>209</v>
      </c>
      <c r="I579" s="25" t="s">
        <v>1795</v>
      </c>
      <c r="J579" s="70"/>
      <c r="K579" s="70"/>
      <c r="L579" s="70"/>
    </row>
    <row r="580" customFormat="false" ht="23.25" hidden="false" customHeight="true" outlineLevel="0" collapsed="false">
      <c r="A580" s="69" t="s">
        <v>1700</v>
      </c>
      <c r="B580" s="13" t="s">
        <v>27</v>
      </c>
      <c r="C580" s="22" t="s">
        <v>1797</v>
      </c>
      <c r="D580" s="23" t="s">
        <v>1795</v>
      </c>
      <c r="E580" s="23" t="s">
        <v>1798</v>
      </c>
      <c r="F580" s="23" t="s">
        <v>1799</v>
      </c>
      <c r="G580" s="23" t="s">
        <v>1068</v>
      </c>
      <c r="H580" s="23" t="s">
        <v>245</v>
      </c>
      <c r="I580" s="25" t="s">
        <v>1800</v>
      </c>
      <c r="J580" s="70"/>
      <c r="K580" s="70"/>
      <c r="L580" s="70"/>
    </row>
    <row r="581" customFormat="false" ht="23.25" hidden="false" customHeight="true" outlineLevel="0" collapsed="false">
      <c r="A581" s="69" t="s">
        <v>1700</v>
      </c>
      <c r="B581" s="13" t="s">
        <v>36</v>
      </c>
      <c r="C581" s="22" t="s">
        <v>1801</v>
      </c>
      <c r="D581" s="23" t="s">
        <v>1802</v>
      </c>
      <c r="E581" s="23" t="s">
        <v>1803</v>
      </c>
      <c r="F581" s="23" t="s">
        <v>1804</v>
      </c>
      <c r="G581" s="23" t="s">
        <v>1068</v>
      </c>
      <c r="H581" s="23" t="s">
        <v>261</v>
      </c>
      <c r="I581" s="25" t="s">
        <v>1805</v>
      </c>
      <c r="J581" s="70"/>
      <c r="K581" s="70"/>
      <c r="L581" s="70"/>
    </row>
    <row r="582" customFormat="false" ht="23.25" hidden="false" customHeight="true" outlineLevel="0" collapsed="false">
      <c r="A582" s="69" t="s">
        <v>1700</v>
      </c>
      <c r="B582" s="13" t="s">
        <v>28</v>
      </c>
      <c r="C582" s="22" t="s">
        <v>1806</v>
      </c>
      <c r="D582" s="23" t="s">
        <v>1401</v>
      </c>
      <c r="E582" s="23" t="s">
        <v>1807</v>
      </c>
      <c r="F582" s="23" t="s">
        <v>1808</v>
      </c>
      <c r="G582" s="23" t="s">
        <v>1068</v>
      </c>
      <c r="H582" s="23" t="s">
        <v>267</v>
      </c>
      <c r="I582" s="25" t="s">
        <v>1809</v>
      </c>
      <c r="J582" s="70"/>
      <c r="K582" s="70"/>
      <c r="L582" s="70"/>
    </row>
    <row r="583" customFormat="false" ht="23.25" hidden="false" customHeight="true" outlineLevel="0" collapsed="false">
      <c r="A583" s="69" t="s">
        <v>1700</v>
      </c>
      <c r="B583" s="13" t="s">
        <v>28</v>
      </c>
      <c r="C583" s="22" t="s">
        <v>1810</v>
      </c>
      <c r="D583" s="23" t="s">
        <v>1401</v>
      </c>
      <c r="E583" s="23" t="s">
        <v>1807</v>
      </c>
      <c r="F583" s="23" t="s">
        <v>1808</v>
      </c>
      <c r="G583" s="23" t="s">
        <v>1068</v>
      </c>
      <c r="H583" s="23" t="s">
        <v>340</v>
      </c>
      <c r="I583" s="25" t="s">
        <v>1809</v>
      </c>
      <c r="J583" s="70"/>
      <c r="K583" s="70"/>
      <c r="L583" s="70"/>
    </row>
    <row r="584" customFormat="false" ht="23.25" hidden="false" customHeight="true" outlineLevel="0" collapsed="false">
      <c r="A584" s="69" t="s">
        <v>1700</v>
      </c>
      <c r="B584" s="13" t="s">
        <v>33</v>
      </c>
      <c r="C584" s="22" t="s">
        <v>1811</v>
      </c>
      <c r="D584" s="23" t="s">
        <v>1812</v>
      </c>
      <c r="E584" s="23" t="s">
        <v>1813</v>
      </c>
      <c r="F584" s="23" t="s">
        <v>1814</v>
      </c>
      <c r="G584" s="23" t="s">
        <v>1710</v>
      </c>
      <c r="H584" s="23" t="s">
        <v>134</v>
      </c>
      <c r="I584" s="25" t="s">
        <v>1815</v>
      </c>
      <c r="J584" s="70"/>
      <c r="K584" s="70"/>
      <c r="L584" s="70"/>
    </row>
    <row r="585" customFormat="false" ht="23.25" hidden="false" customHeight="true" outlineLevel="0" collapsed="false">
      <c r="A585" s="69" t="s">
        <v>1700</v>
      </c>
      <c r="B585" s="13" t="s">
        <v>31</v>
      </c>
      <c r="C585" s="22" t="s">
        <v>1816</v>
      </c>
      <c r="D585" s="23" t="s">
        <v>1817</v>
      </c>
      <c r="E585" s="23" t="s">
        <v>1818</v>
      </c>
      <c r="F585" s="23" t="s">
        <v>1819</v>
      </c>
      <c r="G585" s="23" t="s">
        <v>1068</v>
      </c>
      <c r="H585" s="23" t="s">
        <v>245</v>
      </c>
      <c r="I585" s="25" t="s">
        <v>411</v>
      </c>
      <c r="J585" s="70"/>
      <c r="K585" s="70"/>
      <c r="L585" s="70"/>
    </row>
    <row r="586" customFormat="false" ht="23.25" hidden="false" customHeight="true" outlineLevel="0" collapsed="false">
      <c r="A586" s="69" t="s">
        <v>1700</v>
      </c>
      <c r="B586" s="13" t="s">
        <v>27</v>
      </c>
      <c r="C586" s="22" t="s">
        <v>1820</v>
      </c>
      <c r="D586" s="23" t="s">
        <v>1415</v>
      </c>
      <c r="E586" s="23" t="s">
        <v>1821</v>
      </c>
      <c r="F586" s="23" t="s">
        <v>1822</v>
      </c>
      <c r="G586" s="23" t="s">
        <v>1068</v>
      </c>
      <c r="H586" s="23" t="s">
        <v>245</v>
      </c>
      <c r="I586" s="25" t="s">
        <v>1823</v>
      </c>
      <c r="J586" s="70"/>
      <c r="K586" s="70"/>
      <c r="L586" s="70"/>
    </row>
    <row r="587" customFormat="false" ht="23.25" hidden="false" customHeight="true" outlineLevel="0" collapsed="false">
      <c r="A587" s="69" t="s">
        <v>1700</v>
      </c>
      <c r="B587" s="13" t="s">
        <v>37</v>
      </c>
      <c r="C587" s="22" t="s">
        <v>1824</v>
      </c>
      <c r="D587" s="23" t="s">
        <v>1825</v>
      </c>
      <c r="E587" s="23" t="s">
        <v>1826</v>
      </c>
      <c r="F587" s="23" t="s">
        <v>1827</v>
      </c>
      <c r="G587" s="23" t="s">
        <v>1068</v>
      </c>
      <c r="H587" s="23" t="s">
        <v>245</v>
      </c>
      <c r="I587" s="25" t="s">
        <v>1828</v>
      </c>
      <c r="J587" s="70"/>
      <c r="K587" s="70"/>
      <c r="L587" s="70"/>
    </row>
    <row r="588" customFormat="false" ht="23.25" hidden="false" customHeight="true" outlineLevel="0" collapsed="false">
      <c r="A588" s="69" t="s">
        <v>1700</v>
      </c>
      <c r="B588" s="13" t="s">
        <v>37</v>
      </c>
      <c r="C588" s="22" t="s">
        <v>1829</v>
      </c>
      <c r="D588" s="23" t="s">
        <v>251</v>
      </c>
      <c r="E588" s="23" t="s">
        <v>1830</v>
      </c>
      <c r="F588" s="23" t="s">
        <v>1831</v>
      </c>
      <c r="G588" s="23" t="s">
        <v>1068</v>
      </c>
      <c r="H588" s="23" t="s">
        <v>477</v>
      </c>
      <c r="I588" s="25" t="s">
        <v>1832</v>
      </c>
      <c r="J588" s="70"/>
      <c r="K588" s="70"/>
      <c r="L588" s="70"/>
    </row>
    <row r="589" customFormat="false" ht="23.25" hidden="false" customHeight="true" outlineLevel="0" collapsed="false">
      <c r="A589" s="69" t="s">
        <v>1700</v>
      </c>
      <c r="B589" s="13" t="s">
        <v>32</v>
      </c>
      <c r="C589" s="30" t="s">
        <v>1833</v>
      </c>
      <c r="D589" s="31" t="s">
        <v>1423</v>
      </c>
      <c r="E589" s="31" t="s">
        <v>1834</v>
      </c>
      <c r="F589" s="31" t="s">
        <v>1835</v>
      </c>
      <c r="G589" s="31" t="s">
        <v>115</v>
      </c>
      <c r="H589" s="31" t="s">
        <v>219</v>
      </c>
      <c r="I589" s="33" t="s">
        <v>1836</v>
      </c>
      <c r="J589" s="70"/>
      <c r="K589" s="70"/>
      <c r="L589" s="70"/>
    </row>
    <row r="590" customFormat="false" ht="23.25" hidden="false" customHeight="true" outlineLevel="0" collapsed="false">
      <c r="A590" s="69" t="s">
        <v>1700</v>
      </c>
      <c r="B590" s="13" t="s">
        <v>32</v>
      </c>
      <c r="C590" s="30" t="s">
        <v>1837</v>
      </c>
      <c r="D590" s="31" t="s">
        <v>1423</v>
      </c>
      <c r="E590" s="31" t="s">
        <v>1834</v>
      </c>
      <c r="F590" s="31" t="s">
        <v>1835</v>
      </c>
      <c r="G590" s="31" t="s">
        <v>115</v>
      </c>
      <c r="H590" s="31" t="s">
        <v>116</v>
      </c>
      <c r="I590" s="33" t="s">
        <v>1836</v>
      </c>
      <c r="J590" s="70"/>
      <c r="K590" s="70"/>
      <c r="L590" s="70"/>
    </row>
    <row r="591" customFormat="false" ht="23.25" hidden="false" customHeight="true" outlineLevel="0" collapsed="false">
      <c r="A591" s="69" t="s">
        <v>1700</v>
      </c>
      <c r="B591" s="13" t="s">
        <v>32</v>
      </c>
      <c r="C591" s="30" t="s">
        <v>1838</v>
      </c>
      <c r="D591" s="31" t="s">
        <v>1423</v>
      </c>
      <c r="E591" s="31" t="s">
        <v>1834</v>
      </c>
      <c r="F591" s="31" t="s">
        <v>1835</v>
      </c>
      <c r="G591" s="31" t="s">
        <v>115</v>
      </c>
      <c r="H591" s="31" t="s">
        <v>132</v>
      </c>
      <c r="I591" s="33" t="s">
        <v>1836</v>
      </c>
      <c r="J591" s="70"/>
      <c r="K591" s="70"/>
      <c r="L591" s="70"/>
    </row>
    <row r="592" customFormat="false" ht="23.25" hidden="false" customHeight="true" outlineLevel="0" collapsed="false">
      <c r="A592" s="69" t="s">
        <v>1700</v>
      </c>
      <c r="B592" s="13" t="s">
        <v>32</v>
      </c>
      <c r="C592" s="30" t="s">
        <v>1839</v>
      </c>
      <c r="D592" s="31" t="s">
        <v>1423</v>
      </c>
      <c r="E592" s="31" t="s">
        <v>1834</v>
      </c>
      <c r="F592" s="31" t="s">
        <v>1835</v>
      </c>
      <c r="G592" s="31" t="s">
        <v>115</v>
      </c>
      <c r="H592" s="31" t="s">
        <v>149</v>
      </c>
      <c r="I592" s="33" t="s">
        <v>1836</v>
      </c>
      <c r="J592" s="70"/>
      <c r="K592" s="70"/>
      <c r="L592" s="70"/>
    </row>
    <row r="593" customFormat="false" ht="23.25" hidden="false" customHeight="true" outlineLevel="0" collapsed="false">
      <c r="A593" s="69" t="s">
        <v>1700</v>
      </c>
      <c r="B593" s="13" t="s">
        <v>32</v>
      </c>
      <c r="C593" s="30" t="s">
        <v>1840</v>
      </c>
      <c r="D593" s="31" t="s">
        <v>1423</v>
      </c>
      <c r="E593" s="31" t="s">
        <v>1834</v>
      </c>
      <c r="F593" s="31" t="s">
        <v>1835</v>
      </c>
      <c r="G593" s="31" t="s">
        <v>115</v>
      </c>
      <c r="H593" s="31" t="s">
        <v>143</v>
      </c>
      <c r="I593" s="33" t="s">
        <v>1836</v>
      </c>
      <c r="J593" s="70"/>
      <c r="K593" s="70"/>
      <c r="L593" s="70"/>
    </row>
    <row r="594" customFormat="false" ht="23.25" hidden="false" customHeight="true" outlineLevel="0" collapsed="false">
      <c r="A594" s="69" t="s">
        <v>1700</v>
      </c>
      <c r="B594" s="13" t="s">
        <v>32</v>
      </c>
      <c r="C594" s="30" t="s">
        <v>1841</v>
      </c>
      <c r="D594" s="31" t="s">
        <v>1423</v>
      </c>
      <c r="E594" s="31" t="s">
        <v>1834</v>
      </c>
      <c r="F594" s="31" t="s">
        <v>1835</v>
      </c>
      <c r="G594" s="31" t="s">
        <v>115</v>
      </c>
      <c r="H594" s="31" t="s">
        <v>279</v>
      </c>
      <c r="I594" s="33" t="s">
        <v>1836</v>
      </c>
      <c r="J594" s="70"/>
      <c r="K594" s="70"/>
      <c r="L594" s="70"/>
    </row>
    <row r="595" customFormat="false" ht="23.25" hidden="false" customHeight="true" outlineLevel="0" collapsed="false">
      <c r="A595" s="69" t="s">
        <v>1700</v>
      </c>
      <c r="B595" s="13" t="s">
        <v>36</v>
      </c>
      <c r="C595" s="22" t="s">
        <v>1842</v>
      </c>
      <c r="D595" s="23" t="s">
        <v>1843</v>
      </c>
      <c r="E595" s="23" t="s">
        <v>697</v>
      </c>
      <c r="F595" s="23" t="s">
        <v>698</v>
      </c>
      <c r="G595" s="23" t="s">
        <v>107</v>
      </c>
      <c r="H595" s="23" t="s">
        <v>277</v>
      </c>
      <c r="I595" s="25" t="s">
        <v>305</v>
      </c>
      <c r="J595" s="70"/>
      <c r="K595" s="70"/>
      <c r="L595" s="70"/>
    </row>
    <row r="596" customFormat="false" ht="23.25" hidden="false" customHeight="true" outlineLevel="0" collapsed="false">
      <c r="A596" s="69" t="s">
        <v>1700</v>
      </c>
      <c r="B596" s="13" t="s">
        <v>36</v>
      </c>
      <c r="C596" s="22" t="s">
        <v>1844</v>
      </c>
      <c r="D596" s="23" t="s">
        <v>1843</v>
      </c>
      <c r="E596" s="23" t="s">
        <v>697</v>
      </c>
      <c r="F596" s="23" t="s">
        <v>698</v>
      </c>
      <c r="G596" s="23" t="s">
        <v>115</v>
      </c>
      <c r="H596" s="23" t="s">
        <v>279</v>
      </c>
      <c r="I596" s="25" t="s">
        <v>305</v>
      </c>
      <c r="J596" s="70"/>
      <c r="K596" s="70"/>
      <c r="L596" s="70"/>
    </row>
    <row r="597" customFormat="false" ht="23.25" hidden="false" customHeight="true" outlineLevel="0" collapsed="false">
      <c r="A597" s="69" t="s">
        <v>1700</v>
      </c>
      <c r="B597" s="13" t="s">
        <v>28</v>
      </c>
      <c r="C597" s="22" t="s">
        <v>1845</v>
      </c>
      <c r="D597" s="23" t="s">
        <v>1846</v>
      </c>
      <c r="E597" s="23" t="s">
        <v>1257</v>
      </c>
      <c r="F597" s="23" t="s">
        <v>1258</v>
      </c>
      <c r="G597" s="23" t="s">
        <v>1068</v>
      </c>
      <c r="H597" s="23" t="s">
        <v>207</v>
      </c>
      <c r="I597" s="25" t="s">
        <v>1847</v>
      </c>
      <c r="J597" s="70"/>
      <c r="K597" s="70"/>
      <c r="L597" s="70"/>
    </row>
    <row r="598" customFormat="false" ht="23.25" hidden="false" customHeight="true" outlineLevel="0" collapsed="false">
      <c r="A598" s="69" t="s">
        <v>1700</v>
      </c>
      <c r="B598" s="13" t="s">
        <v>28</v>
      </c>
      <c r="C598" s="22" t="s">
        <v>1848</v>
      </c>
      <c r="D598" s="23" t="s">
        <v>1846</v>
      </c>
      <c r="E598" s="23" t="s">
        <v>1257</v>
      </c>
      <c r="F598" s="23" t="s">
        <v>1258</v>
      </c>
      <c r="G598" s="23" t="s">
        <v>1068</v>
      </c>
      <c r="H598" s="23" t="s">
        <v>86</v>
      </c>
      <c r="I598" s="25" t="s">
        <v>1847</v>
      </c>
      <c r="J598" s="70"/>
      <c r="K598" s="70"/>
      <c r="L598" s="70"/>
    </row>
    <row r="599" customFormat="false" ht="23.25" hidden="false" customHeight="true" outlineLevel="0" collapsed="false">
      <c r="A599" s="69" t="s">
        <v>1700</v>
      </c>
      <c r="B599" s="13" t="s">
        <v>28</v>
      </c>
      <c r="C599" s="22" t="s">
        <v>1849</v>
      </c>
      <c r="D599" s="23" t="s">
        <v>1846</v>
      </c>
      <c r="E599" s="23" t="s">
        <v>1257</v>
      </c>
      <c r="F599" s="23" t="s">
        <v>1258</v>
      </c>
      <c r="G599" s="23" t="s">
        <v>1068</v>
      </c>
      <c r="H599" s="23" t="s">
        <v>199</v>
      </c>
      <c r="I599" s="25" t="s">
        <v>1847</v>
      </c>
      <c r="J599" s="70"/>
      <c r="K599" s="70"/>
      <c r="L599" s="70"/>
    </row>
    <row r="600" customFormat="false" ht="23.25" hidden="false" customHeight="true" outlineLevel="0" collapsed="false">
      <c r="A600" s="69" t="s">
        <v>1700</v>
      </c>
      <c r="B600" s="13" t="s">
        <v>28</v>
      </c>
      <c r="C600" s="22" t="s">
        <v>1850</v>
      </c>
      <c r="D600" s="23" t="s">
        <v>1846</v>
      </c>
      <c r="E600" s="23" t="s">
        <v>1257</v>
      </c>
      <c r="F600" s="23" t="s">
        <v>1258</v>
      </c>
      <c r="G600" s="23" t="s">
        <v>1068</v>
      </c>
      <c r="H600" s="23" t="s">
        <v>209</v>
      </c>
      <c r="I600" s="25" t="s">
        <v>1847</v>
      </c>
      <c r="J600" s="70"/>
      <c r="K600" s="70"/>
      <c r="L600" s="70"/>
    </row>
    <row r="601" customFormat="false" ht="23.25" hidden="false" customHeight="true" outlineLevel="0" collapsed="false">
      <c r="A601" s="69" t="s">
        <v>1700</v>
      </c>
      <c r="B601" s="13" t="s">
        <v>28</v>
      </c>
      <c r="C601" s="22" t="s">
        <v>1851</v>
      </c>
      <c r="D601" s="23" t="s">
        <v>1852</v>
      </c>
      <c r="E601" s="23" t="s">
        <v>1257</v>
      </c>
      <c r="F601" s="23" t="s">
        <v>1258</v>
      </c>
      <c r="G601" s="23" t="s">
        <v>1068</v>
      </c>
      <c r="H601" s="23" t="s">
        <v>1057</v>
      </c>
      <c r="I601" s="25" t="s">
        <v>1847</v>
      </c>
      <c r="J601" s="70"/>
      <c r="K601" s="70"/>
      <c r="L601" s="70"/>
    </row>
    <row r="602" customFormat="false" ht="23.25" hidden="false" customHeight="true" outlineLevel="0" collapsed="false">
      <c r="A602" s="69" t="s">
        <v>1700</v>
      </c>
      <c r="B602" s="13" t="s">
        <v>28</v>
      </c>
      <c r="C602" s="22" t="s">
        <v>1853</v>
      </c>
      <c r="D602" s="23" t="s">
        <v>1317</v>
      </c>
      <c r="E602" s="23" t="s">
        <v>1257</v>
      </c>
      <c r="F602" s="23" t="s">
        <v>1258</v>
      </c>
      <c r="G602" s="23" t="s">
        <v>1068</v>
      </c>
      <c r="H602" s="23" t="s">
        <v>90</v>
      </c>
      <c r="I602" s="25" t="s">
        <v>1854</v>
      </c>
      <c r="J602" s="70"/>
      <c r="K602" s="70"/>
      <c r="L602" s="70"/>
    </row>
    <row r="603" customFormat="false" ht="23.25" hidden="false" customHeight="true" outlineLevel="0" collapsed="false">
      <c r="A603" s="69" t="s">
        <v>1700</v>
      </c>
      <c r="B603" s="13" t="s">
        <v>33</v>
      </c>
      <c r="C603" s="22" t="s">
        <v>1855</v>
      </c>
      <c r="D603" s="23" t="s">
        <v>1856</v>
      </c>
      <c r="E603" s="23" t="s">
        <v>1857</v>
      </c>
      <c r="F603" s="23" t="s">
        <v>1858</v>
      </c>
      <c r="G603" s="23" t="s">
        <v>174</v>
      </c>
      <c r="H603" s="23" t="s">
        <v>245</v>
      </c>
      <c r="I603" s="25" t="s">
        <v>252</v>
      </c>
      <c r="J603" s="70"/>
      <c r="K603" s="70"/>
      <c r="L603" s="70"/>
    </row>
    <row r="604" customFormat="false" ht="23.25" hidden="false" customHeight="true" outlineLevel="0" collapsed="false">
      <c r="A604" s="69" t="s">
        <v>1700</v>
      </c>
      <c r="B604" s="13" t="s">
        <v>26</v>
      </c>
      <c r="C604" s="38" t="s">
        <v>1859</v>
      </c>
      <c r="D604" s="39" t="s">
        <v>1860</v>
      </c>
      <c r="E604" s="39" t="s">
        <v>1861</v>
      </c>
      <c r="F604" s="39" t="s">
        <v>1862</v>
      </c>
      <c r="G604" s="39" t="s">
        <v>174</v>
      </c>
      <c r="H604" s="39" t="s">
        <v>245</v>
      </c>
      <c r="I604" s="41" t="s">
        <v>1863</v>
      </c>
      <c r="J604" s="70"/>
      <c r="K604" s="70"/>
      <c r="L604" s="70"/>
    </row>
    <row r="605" customFormat="false" ht="23.25" hidden="false" customHeight="true" outlineLevel="0" collapsed="false">
      <c r="A605" s="69" t="s">
        <v>1700</v>
      </c>
      <c r="B605" s="13" t="s">
        <v>27</v>
      </c>
      <c r="C605" s="38" t="s">
        <v>1864</v>
      </c>
      <c r="D605" s="39" t="s">
        <v>1860</v>
      </c>
      <c r="E605" s="39" t="s">
        <v>1865</v>
      </c>
      <c r="F605" s="39" t="s">
        <v>1866</v>
      </c>
      <c r="G605" s="39" t="s">
        <v>1068</v>
      </c>
      <c r="H605" s="39" t="s">
        <v>175</v>
      </c>
      <c r="I605" s="41" t="s">
        <v>1867</v>
      </c>
      <c r="J605" s="70"/>
      <c r="K605" s="70"/>
      <c r="L605" s="70"/>
    </row>
    <row r="606" customFormat="false" ht="23.25" hidden="false" customHeight="true" outlineLevel="0" collapsed="false">
      <c r="A606" s="69" t="s">
        <v>1700</v>
      </c>
      <c r="B606" s="13" t="s">
        <v>33</v>
      </c>
      <c r="C606" s="38" t="s">
        <v>1868</v>
      </c>
      <c r="D606" s="39" t="s">
        <v>1869</v>
      </c>
      <c r="E606" s="39" t="s">
        <v>1870</v>
      </c>
      <c r="F606" s="39" t="s">
        <v>1871</v>
      </c>
      <c r="G606" s="39" t="s">
        <v>73</v>
      </c>
      <c r="H606" s="39" t="s">
        <v>215</v>
      </c>
      <c r="I606" s="41" t="s">
        <v>1863</v>
      </c>
      <c r="J606" s="70"/>
      <c r="K606" s="70"/>
      <c r="L606" s="70"/>
    </row>
    <row r="607" customFormat="false" ht="23.25" hidden="false" customHeight="true" outlineLevel="0" collapsed="false">
      <c r="A607" s="69" t="s">
        <v>1700</v>
      </c>
      <c r="B607" s="13" t="s">
        <v>33</v>
      </c>
      <c r="C607" s="38" t="s">
        <v>1872</v>
      </c>
      <c r="D607" s="39" t="s">
        <v>1869</v>
      </c>
      <c r="E607" s="39" t="s">
        <v>1870</v>
      </c>
      <c r="F607" s="39" t="s">
        <v>1871</v>
      </c>
      <c r="G607" s="39" t="s">
        <v>174</v>
      </c>
      <c r="H607" s="39" t="s">
        <v>184</v>
      </c>
      <c r="I607" s="41" t="s">
        <v>1863</v>
      </c>
      <c r="J607" s="70"/>
      <c r="K607" s="70"/>
      <c r="L607" s="70"/>
    </row>
    <row r="608" customFormat="false" ht="23.25" hidden="false" customHeight="true" outlineLevel="0" collapsed="false">
      <c r="A608" s="69" t="s">
        <v>1700</v>
      </c>
      <c r="B608" s="13" t="s">
        <v>33</v>
      </c>
      <c r="C608" s="38" t="s">
        <v>1873</v>
      </c>
      <c r="D608" s="39" t="s">
        <v>1869</v>
      </c>
      <c r="E608" s="39" t="s">
        <v>1870</v>
      </c>
      <c r="F608" s="39" t="s">
        <v>1871</v>
      </c>
      <c r="G608" s="39" t="s">
        <v>73</v>
      </c>
      <c r="H608" s="39" t="s">
        <v>1132</v>
      </c>
      <c r="I608" s="41" t="s">
        <v>1863</v>
      </c>
      <c r="J608" s="70"/>
      <c r="K608" s="70"/>
      <c r="L608" s="70"/>
    </row>
    <row r="609" customFormat="false" ht="23.25" hidden="false" customHeight="true" outlineLevel="0" collapsed="false">
      <c r="A609" s="69" t="s">
        <v>1700</v>
      </c>
      <c r="B609" s="13" t="s">
        <v>33</v>
      </c>
      <c r="C609" s="38" t="s">
        <v>1874</v>
      </c>
      <c r="D609" s="39" t="s">
        <v>1869</v>
      </c>
      <c r="E609" s="39" t="s">
        <v>1870</v>
      </c>
      <c r="F609" s="39" t="s">
        <v>1871</v>
      </c>
      <c r="G609" s="39" t="s">
        <v>73</v>
      </c>
      <c r="H609" s="39" t="s">
        <v>1134</v>
      </c>
      <c r="I609" s="41" t="s">
        <v>1863</v>
      </c>
      <c r="J609" s="70"/>
      <c r="K609" s="70"/>
      <c r="L609" s="70"/>
    </row>
    <row r="610" customFormat="false" ht="23.25" hidden="false" customHeight="true" outlineLevel="0" collapsed="false">
      <c r="A610" s="69" t="s">
        <v>1700</v>
      </c>
      <c r="B610" s="13" t="s">
        <v>33</v>
      </c>
      <c r="C610" s="38" t="s">
        <v>1875</v>
      </c>
      <c r="D610" s="39" t="s">
        <v>1869</v>
      </c>
      <c r="E610" s="39" t="s">
        <v>1870</v>
      </c>
      <c r="F610" s="39" t="s">
        <v>1871</v>
      </c>
      <c r="G610" s="39" t="s">
        <v>73</v>
      </c>
      <c r="H610" s="39" t="s">
        <v>224</v>
      </c>
      <c r="I610" s="41" t="s">
        <v>1863</v>
      </c>
      <c r="J610" s="70"/>
      <c r="K610" s="70"/>
      <c r="L610" s="70"/>
    </row>
    <row r="611" customFormat="false" ht="23.25" hidden="false" customHeight="true" outlineLevel="0" collapsed="false">
      <c r="A611" s="69" t="s">
        <v>1700</v>
      </c>
      <c r="B611" s="13" t="s">
        <v>33</v>
      </c>
      <c r="C611" s="38" t="s">
        <v>1876</v>
      </c>
      <c r="D611" s="39" t="s">
        <v>1869</v>
      </c>
      <c r="E611" s="39" t="s">
        <v>1870</v>
      </c>
      <c r="F611" s="39" t="s">
        <v>1871</v>
      </c>
      <c r="G611" s="39" t="s">
        <v>73</v>
      </c>
      <c r="H611" s="39" t="s">
        <v>128</v>
      </c>
      <c r="I611" s="41" t="s">
        <v>1863</v>
      </c>
      <c r="J611" s="70"/>
      <c r="K611" s="70"/>
      <c r="L611" s="70"/>
    </row>
    <row r="612" customFormat="false" ht="23.25" hidden="false" customHeight="true" outlineLevel="0" collapsed="false">
      <c r="A612" s="69" t="s">
        <v>1700</v>
      </c>
      <c r="B612" s="13" t="s">
        <v>33</v>
      </c>
      <c r="C612" s="38" t="s">
        <v>1877</v>
      </c>
      <c r="D612" s="39" t="s">
        <v>1869</v>
      </c>
      <c r="E612" s="39" t="s">
        <v>1870</v>
      </c>
      <c r="F612" s="39" t="s">
        <v>1871</v>
      </c>
      <c r="G612" s="39" t="s">
        <v>73</v>
      </c>
      <c r="H612" s="39" t="s">
        <v>111</v>
      </c>
      <c r="I612" s="41" t="s">
        <v>1863</v>
      </c>
      <c r="J612" s="70"/>
      <c r="K612" s="70"/>
      <c r="L612" s="70"/>
    </row>
    <row r="613" customFormat="false" ht="23.25" hidden="false" customHeight="true" outlineLevel="0" collapsed="false">
      <c r="A613" s="69" t="s">
        <v>1700</v>
      </c>
      <c r="B613" s="13" t="s">
        <v>33</v>
      </c>
      <c r="C613" s="38" t="s">
        <v>1878</v>
      </c>
      <c r="D613" s="39" t="s">
        <v>1869</v>
      </c>
      <c r="E613" s="39" t="s">
        <v>1870</v>
      </c>
      <c r="F613" s="39" t="s">
        <v>1871</v>
      </c>
      <c r="G613" s="39" t="s">
        <v>73</v>
      </c>
      <c r="H613" s="39" t="s">
        <v>124</v>
      </c>
      <c r="I613" s="41" t="s">
        <v>1863</v>
      </c>
      <c r="J613" s="70"/>
      <c r="K613" s="70"/>
      <c r="L613" s="70"/>
    </row>
    <row r="614" customFormat="false" ht="23.25" hidden="false" customHeight="true" outlineLevel="0" collapsed="false">
      <c r="A614" s="69" t="s">
        <v>1700</v>
      </c>
      <c r="B614" s="13" t="s">
        <v>33</v>
      </c>
      <c r="C614" s="38" t="s">
        <v>1879</v>
      </c>
      <c r="D614" s="39" t="s">
        <v>1869</v>
      </c>
      <c r="E614" s="39" t="s">
        <v>1870</v>
      </c>
      <c r="F614" s="39" t="s">
        <v>1871</v>
      </c>
      <c r="G614" s="39" t="s">
        <v>73</v>
      </c>
      <c r="H614" s="39" t="s">
        <v>126</v>
      </c>
      <c r="I614" s="41" t="s">
        <v>1863</v>
      </c>
      <c r="J614" s="70"/>
      <c r="K614" s="70"/>
      <c r="L614" s="70"/>
    </row>
    <row r="615" customFormat="false" ht="23.25" hidden="false" customHeight="true" outlineLevel="0" collapsed="false">
      <c r="A615" s="69" t="s">
        <v>1700</v>
      </c>
      <c r="B615" s="13" t="s">
        <v>33</v>
      </c>
      <c r="C615" s="38" t="s">
        <v>1880</v>
      </c>
      <c r="D615" s="39" t="s">
        <v>1869</v>
      </c>
      <c r="E615" s="39" t="s">
        <v>1870</v>
      </c>
      <c r="F615" s="39" t="s">
        <v>1871</v>
      </c>
      <c r="G615" s="39" t="s">
        <v>142</v>
      </c>
      <c r="H615" s="39" t="s">
        <v>219</v>
      </c>
      <c r="I615" s="41" t="s">
        <v>1881</v>
      </c>
      <c r="J615" s="70"/>
      <c r="K615" s="70"/>
      <c r="L615" s="70"/>
    </row>
    <row r="616" customFormat="false" ht="23.25" hidden="false" customHeight="true" outlineLevel="0" collapsed="false">
      <c r="A616" s="69" t="s">
        <v>1700</v>
      </c>
      <c r="B616" s="13" t="s">
        <v>33</v>
      </c>
      <c r="C616" s="38" t="s">
        <v>1882</v>
      </c>
      <c r="D616" s="39" t="s">
        <v>1869</v>
      </c>
      <c r="E616" s="39" t="s">
        <v>1870</v>
      </c>
      <c r="F616" s="39" t="s">
        <v>1871</v>
      </c>
      <c r="G616" s="39" t="s">
        <v>142</v>
      </c>
      <c r="H616" s="39" t="s">
        <v>116</v>
      </c>
      <c r="I616" s="41" t="s">
        <v>1881</v>
      </c>
      <c r="J616" s="70"/>
      <c r="K616" s="70"/>
      <c r="L616" s="70"/>
    </row>
    <row r="617" customFormat="false" ht="23.25" hidden="false" customHeight="true" outlineLevel="0" collapsed="false">
      <c r="A617" s="69" t="s">
        <v>1700</v>
      </c>
      <c r="B617" s="13" t="s">
        <v>33</v>
      </c>
      <c r="C617" s="38" t="s">
        <v>1883</v>
      </c>
      <c r="D617" s="39" t="s">
        <v>1869</v>
      </c>
      <c r="E617" s="39" t="s">
        <v>1870</v>
      </c>
      <c r="F617" s="39" t="s">
        <v>1871</v>
      </c>
      <c r="G617" s="39" t="s">
        <v>174</v>
      </c>
      <c r="H617" s="39" t="s">
        <v>108</v>
      </c>
      <c r="I617" s="41" t="s">
        <v>1863</v>
      </c>
      <c r="J617" s="70"/>
      <c r="K617" s="70"/>
      <c r="L617" s="70"/>
    </row>
    <row r="618" customFormat="false" ht="23.25" hidden="false" customHeight="true" outlineLevel="0" collapsed="false">
      <c r="A618" s="69" t="s">
        <v>1700</v>
      </c>
      <c r="B618" s="13" t="s">
        <v>32</v>
      </c>
      <c r="C618" s="38" t="s">
        <v>1884</v>
      </c>
      <c r="D618" s="39" t="s">
        <v>1429</v>
      </c>
      <c r="E618" s="39" t="s">
        <v>1885</v>
      </c>
      <c r="F618" s="39" t="s">
        <v>1886</v>
      </c>
      <c r="G618" s="39" t="s">
        <v>73</v>
      </c>
      <c r="H618" s="39" t="s">
        <v>168</v>
      </c>
      <c r="I618" s="41" t="s">
        <v>321</v>
      </c>
      <c r="J618" s="70"/>
      <c r="K618" s="70"/>
      <c r="L618" s="70"/>
    </row>
    <row r="619" customFormat="false" ht="23.25" hidden="false" customHeight="true" outlineLevel="0" collapsed="false">
      <c r="A619" s="69" t="s">
        <v>1700</v>
      </c>
      <c r="B619" s="13" t="s">
        <v>31</v>
      </c>
      <c r="C619" s="38" t="s">
        <v>1887</v>
      </c>
      <c r="D619" s="39" t="s">
        <v>376</v>
      </c>
      <c r="E619" s="39" t="s">
        <v>1888</v>
      </c>
      <c r="F619" s="39" t="s">
        <v>1889</v>
      </c>
      <c r="G619" s="39" t="s">
        <v>174</v>
      </c>
      <c r="H619" s="39" t="s">
        <v>245</v>
      </c>
      <c r="I619" s="41" t="s">
        <v>1890</v>
      </c>
      <c r="J619" s="70"/>
      <c r="K619" s="70"/>
      <c r="L619" s="70"/>
    </row>
    <row r="620" customFormat="false" ht="23.25" hidden="false" customHeight="true" outlineLevel="0" collapsed="false">
      <c r="A620" s="69" t="s">
        <v>1700</v>
      </c>
      <c r="B620" s="13" t="s">
        <v>31</v>
      </c>
      <c r="C620" s="38" t="s">
        <v>1891</v>
      </c>
      <c r="D620" s="39" t="s">
        <v>376</v>
      </c>
      <c r="E620" s="39" t="s">
        <v>1892</v>
      </c>
      <c r="F620" s="39" t="s">
        <v>1893</v>
      </c>
      <c r="G620" s="39" t="s">
        <v>174</v>
      </c>
      <c r="H620" s="39" t="s">
        <v>245</v>
      </c>
      <c r="I620" s="41" t="s">
        <v>1890</v>
      </c>
      <c r="J620" s="70"/>
      <c r="K620" s="70"/>
      <c r="L620" s="70"/>
    </row>
    <row r="621" customFormat="false" ht="23.25" hidden="false" customHeight="true" outlineLevel="0" collapsed="false">
      <c r="A621" s="69" t="s">
        <v>1700</v>
      </c>
      <c r="B621" s="13" t="s">
        <v>27</v>
      </c>
      <c r="C621" s="38" t="s">
        <v>1894</v>
      </c>
      <c r="D621" s="39" t="s">
        <v>321</v>
      </c>
      <c r="E621" s="39" t="s">
        <v>1895</v>
      </c>
      <c r="F621" s="39" t="s">
        <v>1896</v>
      </c>
      <c r="G621" s="39" t="s">
        <v>174</v>
      </c>
      <c r="H621" s="39" t="s">
        <v>245</v>
      </c>
      <c r="I621" s="41" t="s">
        <v>322</v>
      </c>
      <c r="J621" s="70"/>
      <c r="K621" s="70"/>
      <c r="L621" s="70"/>
    </row>
    <row r="622" customFormat="false" ht="23.25" hidden="false" customHeight="true" outlineLevel="0" collapsed="false">
      <c r="A622" s="69" t="s">
        <v>1700</v>
      </c>
      <c r="B622" s="13" t="s">
        <v>33</v>
      </c>
      <c r="C622" s="38" t="s">
        <v>1897</v>
      </c>
      <c r="D622" s="39" t="s">
        <v>321</v>
      </c>
      <c r="E622" s="39" t="s">
        <v>1898</v>
      </c>
      <c r="F622" s="39" t="s">
        <v>1899</v>
      </c>
      <c r="G622" s="39" t="s">
        <v>142</v>
      </c>
      <c r="H622" s="39" t="s">
        <v>744</v>
      </c>
      <c r="I622" s="41" t="s">
        <v>1881</v>
      </c>
      <c r="J622" s="70"/>
      <c r="K622" s="70"/>
      <c r="L622" s="70"/>
    </row>
    <row r="623" customFormat="false" ht="23.25" hidden="false" customHeight="true" outlineLevel="0" collapsed="false">
      <c r="A623" s="69" t="s">
        <v>1700</v>
      </c>
      <c r="B623" s="13" t="s">
        <v>32</v>
      </c>
      <c r="C623" s="38" t="s">
        <v>1900</v>
      </c>
      <c r="D623" s="39" t="s">
        <v>327</v>
      </c>
      <c r="E623" s="39" t="s">
        <v>1901</v>
      </c>
      <c r="F623" s="39" t="s">
        <v>1902</v>
      </c>
      <c r="G623" s="39" t="s">
        <v>73</v>
      </c>
      <c r="H623" s="39" t="s">
        <v>479</v>
      </c>
      <c r="I623" s="41" t="s">
        <v>353</v>
      </c>
      <c r="J623" s="70"/>
      <c r="K623" s="70"/>
      <c r="L623" s="70"/>
    </row>
    <row r="624" customFormat="false" ht="23.25" hidden="false" customHeight="true" outlineLevel="0" collapsed="false">
      <c r="A624" s="69" t="s">
        <v>1700</v>
      </c>
      <c r="B624" s="13" t="s">
        <v>32</v>
      </c>
      <c r="C624" s="38" t="s">
        <v>1903</v>
      </c>
      <c r="D624" s="39" t="s">
        <v>327</v>
      </c>
      <c r="E624" s="39" t="s">
        <v>1901</v>
      </c>
      <c r="F624" s="39" t="s">
        <v>1902</v>
      </c>
      <c r="G624" s="39" t="s">
        <v>73</v>
      </c>
      <c r="H624" s="39" t="s">
        <v>170</v>
      </c>
      <c r="I624" s="41" t="s">
        <v>353</v>
      </c>
      <c r="J624" s="70"/>
      <c r="K624" s="70"/>
      <c r="L624" s="70"/>
    </row>
    <row r="625" customFormat="false" ht="23.25" hidden="false" customHeight="true" outlineLevel="0" collapsed="false">
      <c r="A625" s="69" t="s">
        <v>1700</v>
      </c>
      <c r="B625" s="13" t="s">
        <v>32</v>
      </c>
      <c r="C625" s="38" t="s">
        <v>1904</v>
      </c>
      <c r="D625" s="39" t="s">
        <v>327</v>
      </c>
      <c r="E625" s="39" t="s">
        <v>1901</v>
      </c>
      <c r="F625" s="39" t="s">
        <v>1902</v>
      </c>
      <c r="G625" s="39" t="s">
        <v>73</v>
      </c>
      <c r="H625" s="39" t="s">
        <v>86</v>
      </c>
      <c r="I625" s="41" t="s">
        <v>353</v>
      </c>
      <c r="J625" s="70"/>
      <c r="K625" s="70"/>
      <c r="L625" s="70"/>
    </row>
    <row r="626" customFormat="false" ht="23.25" hidden="false" customHeight="true" outlineLevel="0" collapsed="false">
      <c r="A626" s="69" t="s">
        <v>1700</v>
      </c>
      <c r="B626" s="13" t="s">
        <v>32</v>
      </c>
      <c r="C626" s="38" t="s">
        <v>1905</v>
      </c>
      <c r="D626" s="39" t="s">
        <v>327</v>
      </c>
      <c r="E626" s="39" t="s">
        <v>1901</v>
      </c>
      <c r="F626" s="39" t="s">
        <v>1902</v>
      </c>
      <c r="G626" s="39" t="s">
        <v>73</v>
      </c>
      <c r="H626" s="39" t="s">
        <v>90</v>
      </c>
      <c r="I626" s="41" t="s">
        <v>353</v>
      </c>
      <c r="J626" s="70"/>
      <c r="K626" s="70"/>
      <c r="L626" s="70"/>
    </row>
    <row r="627" customFormat="false" ht="23.25" hidden="false" customHeight="true" outlineLevel="0" collapsed="false">
      <c r="A627" s="69" t="s">
        <v>1700</v>
      </c>
      <c r="B627" s="13" t="s">
        <v>32</v>
      </c>
      <c r="C627" s="38" t="s">
        <v>1906</v>
      </c>
      <c r="D627" s="39" t="s">
        <v>327</v>
      </c>
      <c r="E627" s="39" t="s">
        <v>1901</v>
      </c>
      <c r="F627" s="39" t="s">
        <v>1902</v>
      </c>
      <c r="G627" s="39" t="s">
        <v>73</v>
      </c>
      <c r="H627" s="39" t="s">
        <v>309</v>
      </c>
      <c r="I627" s="41" t="s">
        <v>353</v>
      </c>
      <c r="J627" s="70"/>
      <c r="K627" s="70"/>
      <c r="L627" s="70"/>
    </row>
    <row r="628" customFormat="false" ht="23.25" hidden="false" customHeight="true" outlineLevel="0" collapsed="false">
      <c r="A628" s="69" t="s">
        <v>1700</v>
      </c>
      <c r="B628" s="13" t="s">
        <v>32</v>
      </c>
      <c r="C628" s="38" t="s">
        <v>1907</v>
      </c>
      <c r="D628" s="39" t="s">
        <v>327</v>
      </c>
      <c r="E628" s="39" t="s">
        <v>1901</v>
      </c>
      <c r="F628" s="39" t="s">
        <v>1902</v>
      </c>
      <c r="G628" s="39" t="s">
        <v>73</v>
      </c>
      <c r="H628" s="39" t="s">
        <v>166</v>
      </c>
      <c r="I628" s="41" t="s">
        <v>353</v>
      </c>
      <c r="J628" s="70"/>
      <c r="K628" s="70"/>
      <c r="L628" s="70"/>
    </row>
    <row r="629" customFormat="false" ht="23.25" hidden="false" customHeight="true" outlineLevel="0" collapsed="false">
      <c r="A629" s="69" t="s">
        <v>1700</v>
      </c>
      <c r="B629" s="13" t="s">
        <v>32</v>
      </c>
      <c r="C629" s="38" t="s">
        <v>1908</v>
      </c>
      <c r="D629" s="39" t="s">
        <v>327</v>
      </c>
      <c r="E629" s="39" t="s">
        <v>1901</v>
      </c>
      <c r="F629" s="39" t="s">
        <v>1902</v>
      </c>
      <c r="G629" s="39" t="s">
        <v>73</v>
      </c>
      <c r="H629" s="39" t="s">
        <v>168</v>
      </c>
      <c r="I629" s="41" t="s">
        <v>353</v>
      </c>
      <c r="J629" s="70"/>
      <c r="K629" s="70"/>
      <c r="L629" s="70"/>
    </row>
    <row r="630" customFormat="false" ht="23.25" hidden="false" customHeight="true" outlineLevel="0" collapsed="false">
      <c r="A630" s="69" t="s">
        <v>1700</v>
      </c>
      <c r="B630" s="13" t="s">
        <v>32</v>
      </c>
      <c r="C630" s="38" t="s">
        <v>1909</v>
      </c>
      <c r="D630" s="39" t="s">
        <v>327</v>
      </c>
      <c r="E630" s="39" t="s">
        <v>1901</v>
      </c>
      <c r="F630" s="39" t="s">
        <v>1902</v>
      </c>
      <c r="G630" s="39" t="s">
        <v>73</v>
      </c>
      <c r="H630" s="39" t="s">
        <v>312</v>
      </c>
      <c r="I630" s="41" t="s">
        <v>353</v>
      </c>
      <c r="J630" s="70"/>
      <c r="K630" s="70"/>
      <c r="L630" s="70"/>
    </row>
    <row r="631" customFormat="false" ht="23.25" hidden="false" customHeight="true" outlineLevel="0" collapsed="false">
      <c r="A631" s="69" t="s">
        <v>1700</v>
      </c>
      <c r="B631" s="13" t="s">
        <v>32</v>
      </c>
      <c r="C631" s="38" t="s">
        <v>1910</v>
      </c>
      <c r="D631" s="39" t="s">
        <v>327</v>
      </c>
      <c r="E631" s="39" t="s">
        <v>1901</v>
      </c>
      <c r="F631" s="39" t="s">
        <v>1902</v>
      </c>
      <c r="G631" s="39" t="s">
        <v>73</v>
      </c>
      <c r="H631" s="39" t="s">
        <v>314</v>
      </c>
      <c r="I631" s="41" t="s">
        <v>353</v>
      </c>
      <c r="J631" s="70"/>
      <c r="K631" s="70"/>
      <c r="L631" s="70"/>
    </row>
    <row r="632" customFormat="false" ht="23.25" hidden="false" customHeight="true" outlineLevel="0" collapsed="false">
      <c r="A632" s="69" t="s">
        <v>1700</v>
      </c>
      <c r="B632" s="13" t="s">
        <v>32</v>
      </c>
      <c r="C632" s="38" t="s">
        <v>1911</v>
      </c>
      <c r="D632" s="39" t="s">
        <v>327</v>
      </c>
      <c r="E632" s="39" t="s">
        <v>1901</v>
      </c>
      <c r="F632" s="39" t="s">
        <v>1902</v>
      </c>
      <c r="G632" s="39" t="s">
        <v>73</v>
      </c>
      <c r="H632" s="39" t="s">
        <v>74</v>
      </c>
      <c r="I632" s="41" t="s">
        <v>353</v>
      </c>
      <c r="J632" s="70"/>
      <c r="K632" s="70"/>
      <c r="L632" s="70"/>
    </row>
    <row r="633" customFormat="false" ht="23.25" hidden="false" customHeight="true" outlineLevel="0" collapsed="false">
      <c r="A633" s="69" t="s">
        <v>1700</v>
      </c>
      <c r="B633" s="13" t="s">
        <v>32</v>
      </c>
      <c r="C633" s="38" t="s">
        <v>1912</v>
      </c>
      <c r="D633" s="39" t="s">
        <v>327</v>
      </c>
      <c r="E633" s="39" t="s">
        <v>1901</v>
      </c>
      <c r="F633" s="39" t="s">
        <v>1902</v>
      </c>
      <c r="G633" s="39" t="s">
        <v>115</v>
      </c>
      <c r="H633" s="39" t="s">
        <v>345</v>
      </c>
      <c r="I633" s="41" t="s">
        <v>353</v>
      </c>
      <c r="J633" s="70"/>
      <c r="K633" s="70"/>
      <c r="L633" s="70"/>
    </row>
    <row r="634" customFormat="false" ht="23.25" hidden="false" customHeight="true" outlineLevel="0" collapsed="false">
      <c r="A634" s="69" t="s">
        <v>1700</v>
      </c>
      <c r="B634" s="13" t="s">
        <v>32</v>
      </c>
      <c r="C634" s="38" t="s">
        <v>1913</v>
      </c>
      <c r="D634" s="39" t="s">
        <v>327</v>
      </c>
      <c r="E634" s="39" t="s">
        <v>1901</v>
      </c>
      <c r="F634" s="39" t="s">
        <v>1902</v>
      </c>
      <c r="G634" s="39" t="s">
        <v>115</v>
      </c>
      <c r="H634" s="39" t="s">
        <v>163</v>
      </c>
      <c r="I634" s="41" t="s">
        <v>353</v>
      </c>
      <c r="J634" s="70"/>
      <c r="K634" s="70"/>
      <c r="L634" s="70"/>
    </row>
    <row r="635" customFormat="false" ht="23.25" hidden="false" customHeight="true" outlineLevel="0" collapsed="false">
      <c r="A635" s="69" t="s">
        <v>1700</v>
      </c>
      <c r="B635" s="13" t="s">
        <v>32</v>
      </c>
      <c r="C635" s="38" t="s">
        <v>1914</v>
      </c>
      <c r="D635" s="39" t="s">
        <v>327</v>
      </c>
      <c r="E635" s="39" t="s">
        <v>1901</v>
      </c>
      <c r="F635" s="39" t="s">
        <v>1902</v>
      </c>
      <c r="G635" s="39" t="s">
        <v>115</v>
      </c>
      <c r="H635" s="39" t="s">
        <v>172</v>
      </c>
      <c r="I635" s="41" t="s">
        <v>353</v>
      </c>
      <c r="J635" s="70"/>
      <c r="K635" s="70"/>
      <c r="L635" s="70"/>
    </row>
    <row r="636" customFormat="false" ht="23.25" hidden="false" customHeight="true" outlineLevel="0" collapsed="false">
      <c r="A636" s="69" t="s">
        <v>1700</v>
      </c>
      <c r="B636" s="13" t="s">
        <v>32</v>
      </c>
      <c r="C636" s="38" t="s">
        <v>1915</v>
      </c>
      <c r="D636" s="39" t="s">
        <v>327</v>
      </c>
      <c r="E636" s="39" t="s">
        <v>1901</v>
      </c>
      <c r="F636" s="39" t="s">
        <v>1902</v>
      </c>
      <c r="G636" s="39" t="s">
        <v>115</v>
      </c>
      <c r="H636" s="39" t="s">
        <v>349</v>
      </c>
      <c r="I636" s="41" t="s">
        <v>353</v>
      </c>
      <c r="J636" s="70"/>
      <c r="K636" s="70"/>
      <c r="L636" s="70"/>
    </row>
    <row r="637" customFormat="false" ht="23.25" hidden="false" customHeight="true" outlineLevel="0" collapsed="false">
      <c r="A637" s="69" t="s">
        <v>1700</v>
      </c>
      <c r="B637" s="13" t="s">
        <v>32</v>
      </c>
      <c r="C637" s="38" t="s">
        <v>1916</v>
      </c>
      <c r="D637" s="39" t="s">
        <v>327</v>
      </c>
      <c r="E637" s="39" t="s">
        <v>1901</v>
      </c>
      <c r="F637" s="39" t="s">
        <v>1902</v>
      </c>
      <c r="G637" s="39" t="s">
        <v>107</v>
      </c>
      <c r="H637" s="39" t="s">
        <v>175</v>
      </c>
      <c r="I637" s="41" t="s">
        <v>353</v>
      </c>
      <c r="J637" s="70"/>
      <c r="K637" s="70"/>
      <c r="L637" s="70"/>
    </row>
    <row r="638" customFormat="false" ht="23.25" hidden="false" customHeight="true" outlineLevel="0" collapsed="false">
      <c r="A638" s="69" t="s">
        <v>1700</v>
      </c>
      <c r="B638" s="13" t="s">
        <v>32</v>
      </c>
      <c r="C638" s="38" t="s">
        <v>1917</v>
      </c>
      <c r="D638" s="39" t="s">
        <v>327</v>
      </c>
      <c r="E638" s="39" t="s">
        <v>1901</v>
      </c>
      <c r="F638" s="39" t="s">
        <v>1902</v>
      </c>
      <c r="G638" s="39" t="s">
        <v>73</v>
      </c>
      <c r="H638" s="39" t="s">
        <v>1120</v>
      </c>
      <c r="I638" s="41" t="s">
        <v>353</v>
      </c>
      <c r="J638" s="70"/>
      <c r="K638" s="70"/>
      <c r="L638" s="70"/>
    </row>
    <row r="639" customFormat="false" ht="23.25" hidden="false" customHeight="true" outlineLevel="0" collapsed="false">
      <c r="A639" s="69" t="s">
        <v>1700</v>
      </c>
      <c r="B639" s="13" t="s">
        <v>32</v>
      </c>
      <c r="C639" s="38" t="s">
        <v>1918</v>
      </c>
      <c r="D639" s="39" t="s">
        <v>327</v>
      </c>
      <c r="E639" s="39" t="s">
        <v>1901</v>
      </c>
      <c r="F639" s="39" t="s">
        <v>1902</v>
      </c>
      <c r="G639" s="39" t="s">
        <v>73</v>
      </c>
      <c r="H639" s="39" t="s">
        <v>199</v>
      </c>
      <c r="I639" s="41" t="s">
        <v>353</v>
      </c>
      <c r="J639" s="70"/>
      <c r="K639" s="70"/>
      <c r="L639" s="70"/>
    </row>
    <row r="640" customFormat="false" ht="23.25" hidden="false" customHeight="true" outlineLevel="0" collapsed="false">
      <c r="A640" s="69" t="s">
        <v>1700</v>
      </c>
      <c r="B640" s="13" t="s">
        <v>32</v>
      </c>
      <c r="C640" s="38" t="s">
        <v>1919</v>
      </c>
      <c r="D640" s="39" t="s">
        <v>327</v>
      </c>
      <c r="E640" s="39" t="s">
        <v>1901</v>
      </c>
      <c r="F640" s="39" t="s">
        <v>1902</v>
      </c>
      <c r="G640" s="39" t="s">
        <v>73</v>
      </c>
      <c r="H640" s="39" t="s">
        <v>203</v>
      </c>
      <c r="I640" s="41" t="s">
        <v>353</v>
      </c>
      <c r="J640" s="70"/>
      <c r="K640" s="70"/>
      <c r="L640" s="70"/>
    </row>
    <row r="641" customFormat="false" ht="23.25" hidden="false" customHeight="true" outlineLevel="0" collapsed="false">
      <c r="A641" s="69" t="s">
        <v>1700</v>
      </c>
      <c r="B641" s="13" t="s">
        <v>32</v>
      </c>
      <c r="C641" s="38" t="s">
        <v>1920</v>
      </c>
      <c r="D641" s="39" t="s">
        <v>327</v>
      </c>
      <c r="E641" s="39" t="s">
        <v>1901</v>
      </c>
      <c r="F641" s="39" t="s">
        <v>1902</v>
      </c>
      <c r="G641" s="39" t="s">
        <v>73</v>
      </c>
      <c r="H641" s="39" t="s">
        <v>205</v>
      </c>
      <c r="I641" s="41" t="s">
        <v>353</v>
      </c>
      <c r="J641" s="70"/>
      <c r="K641" s="70"/>
      <c r="L641" s="70"/>
    </row>
    <row r="642" customFormat="false" ht="23.25" hidden="false" customHeight="true" outlineLevel="0" collapsed="false">
      <c r="A642" s="69" t="s">
        <v>1700</v>
      </c>
      <c r="B642" s="13" t="s">
        <v>32</v>
      </c>
      <c r="C642" s="38" t="s">
        <v>1921</v>
      </c>
      <c r="D642" s="39" t="s">
        <v>327</v>
      </c>
      <c r="E642" s="39" t="s">
        <v>1901</v>
      </c>
      <c r="F642" s="39" t="s">
        <v>1902</v>
      </c>
      <c r="G642" s="39" t="s">
        <v>73</v>
      </c>
      <c r="H642" s="39" t="s">
        <v>207</v>
      </c>
      <c r="I642" s="41" t="s">
        <v>353</v>
      </c>
      <c r="J642" s="70"/>
      <c r="K642" s="70"/>
      <c r="L642" s="70"/>
    </row>
    <row r="643" customFormat="false" ht="23.25" hidden="false" customHeight="true" outlineLevel="0" collapsed="false">
      <c r="A643" s="69" t="s">
        <v>1700</v>
      </c>
      <c r="B643" s="13" t="s">
        <v>32</v>
      </c>
      <c r="C643" s="38" t="s">
        <v>1922</v>
      </c>
      <c r="D643" s="39" t="s">
        <v>327</v>
      </c>
      <c r="E643" s="39" t="s">
        <v>1901</v>
      </c>
      <c r="F643" s="39" t="s">
        <v>1902</v>
      </c>
      <c r="G643" s="39" t="s">
        <v>115</v>
      </c>
      <c r="H643" s="39" t="s">
        <v>187</v>
      </c>
      <c r="I643" s="41" t="s">
        <v>353</v>
      </c>
      <c r="J643" s="70"/>
      <c r="K643" s="70"/>
      <c r="L643" s="70"/>
    </row>
    <row r="644" customFormat="false" ht="23.25" hidden="false" customHeight="true" outlineLevel="0" collapsed="false">
      <c r="A644" s="69" t="s">
        <v>1700</v>
      </c>
      <c r="B644" s="13" t="s">
        <v>32</v>
      </c>
      <c r="C644" s="38" t="s">
        <v>1923</v>
      </c>
      <c r="D644" s="39" t="s">
        <v>327</v>
      </c>
      <c r="E644" s="39" t="s">
        <v>1901</v>
      </c>
      <c r="F644" s="39" t="s">
        <v>1902</v>
      </c>
      <c r="G644" s="39" t="s">
        <v>115</v>
      </c>
      <c r="H644" s="39" t="s">
        <v>190</v>
      </c>
      <c r="I644" s="41" t="s">
        <v>353</v>
      </c>
      <c r="J644" s="70"/>
      <c r="K644" s="70"/>
      <c r="L644" s="70"/>
    </row>
    <row r="645" customFormat="false" ht="23.25" hidden="false" customHeight="true" outlineLevel="0" collapsed="false">
      <c r="A645" s="69" t="s">
        <v>1700</v>
      </c>
      <c r="B645" s="13" t="s">
        <v>32</v>
      </c>
      <c r="C645" s="38" t="s">
        <v>1924</v>
      </c>
      <c r="D645" s="39" t="s">
        <v>327</v>
      </c>
      <c r="E645" s="39" t="s">
        <v>1901</v>
      </c>
      <c r="F645" s="39" t="s">
        <v>1902</v>
      </c>
      <c r="G645" s="39" t="s">
        <v>115</v>
      </c>
      <c r="H645" s="39" t="s">
        <v>192</v>
      </c>
      <c r="I645" s="41" t="s">
        <v>353</v>
      </c>
      <c r="J645" s="70"/>
      <c r="K645" s="70"/>
      <c r="L645" s="70"/>
    </row>
    <row r="646" customFormat="false" ht="23.25" hidden="false" customHeight="true" outlineLevel="0" collapsed="false">
      <c r="A646" s="69" t="s">
        <v>1700</v>
      </c>
      <c r="B646" s="13" t="s">
        <v>32</v>
      </c>
      <c r="C646" s="38" t="s">
        <v>1925</v>
      </c>
      <c r="D646" s="39" t="s">
        <v>327</v>
      </c>
      <c r="E646" s="39" t="s">
        <v>1901</v>
      </c>
      <c r="F646" s="39" t="s">
        <v>1902</v>
      </c>
      <c r="G646" s="39" t="s">
        <v>107</v>
      </c>
      <c r="H646" s="39" t="s">
        <v>184</v>
      </c>
      <c r="I646" s="41" t="s">
        <v>353</v>
      </c>
      <c r="J646" s="70"/>
      <c r="K646" s="70"/>
      <c r="L646" s="70"/>
    </row>
    <row r="647" customFormat="false" ht="23.25" hidden="false" customHeight="true" outlineLevel="0" collapsed="false">
      <c r="A647" s="69" t="s">
        <v>1700</v>
      </c>
      <c r="B647" s="13" t="s">
        <v>26</v>
      </c>
      <c r="C647" s="38" t="s">
        <v>1926</v>
      </c>
      <c r="D647" s="39" t="s">
        <v>1927</v>
      </c>
      <c r="E647" s="39" t="s">
        <v>1928</v>
      </c>
      <c r="F647" s="39" t="s">
        <v>1929</v>
      </c>
      <c r="G647" s="39" t="s">
        <v>107</v>
      </c>
      <c r="H647" s="39" t="s">
        <v>245</v>
      </c>
      <c r="I647" s="41" t="s">
        <v>353</v>
      </c>
      <c r="J647" s="70"/>
      <c r="K647" s="70"/>
      <c r="L647" s="70"/>
    </row>
    <row r="648" customFormat="false" ht="23.25" hidden="false" customHeight="true" outlineLevel="0" collapsed="false">
      <c r="A648" s="69" t="s">
        <v>1700</v>
      </c>
      <c r="B648" s="13" t="s">
        <v>32</v>
      </c>
      <c r="C648" s="38" t="s">
        <v>1930</v>
      </c>
      <c r="D648" s="39" t="s">
        <v>1927</v>
      </c>
      <c r="E648" s="39" t="s">
        <v>1931</v>
      </c>
      <c r="F648" s="39" t="s">
        <v>1932</v>
      </c>
      <c r="G648" s="39" t="s">
        <v>107</v>
      </c>
      <c r="H648" s="39" t="s">
        <v>245</v>
      </c>
      <c r="I648" s="41" t="s">
        <v>353</v>
      </c>
      <c r="J648" s="70"/>
      <c r="K648" s="70"/>
      <c r="L648" s="70"/>
    </row>
    <row r="649" customFormat="false" ht="23.25" hidden="false" customHeight="true" outlineLevel="0" collapsed="false">
      <c r="A649" s="69" t="s">
        <v>1700</v>
      </c>
      <c r="B649" s="13" t="s">
        <v>28</v>
      </c>
      <c r="C649" s="38" t="s">
        <v>1933</v>
      </c>
      <c r="D649" s="39" t="s">
        <v>1934</v>
      </c>
      <c r="E649" s="39" t="s">
        <v>1935</v>
      </c>
      <c r="F649" s="39" t="s">
        <v>1936</v>
      </c>
      <c r="G649" s="39" t="s">
        <v>1068</v>
      </c>
      <c r="H649" s="39" t="s">
        <v>1236</v>
      </c>
      <c r="I649" s="41" t="s">
        <v>353</v>
      </c>
      <c r="J649" s="70"/>
      <c r="K649" s="70"/>
      <c r="L649" s="70"/>
    </row>
    <row r="650" customFormat="false" ht="23.25" hidden="false" customHeight="true" outlineLevel="0" collapsed="false">
      <c r="A650" s="69" t="s">
        <v>1700</v>
      </c>
      <c r="B650" s="13" t="s">
        <v>27</v>
      </c>
      <c r="C650" s="30" t="s">
        <v>1937</v>
      </c>
      <c r="D650" s="31" t="s">
        <v>1474</v>
      </c>
      <c r="E650" s="31" t="s">
        <v>1938</v>
      </c>
      <c r="F650" s="31" t="s">
        <v>1939</v>
      </c>
      <c r="G650" s="31" t="s">
        <v>115</v>
      </c>
      <c r="H650" s="31" t="s">
        <v>219</v>
      </c>
      <c r="I650" s="33" t="s">
        <v>358</v>
      </c>
      <c r="J650" s="70"/>
      <c r="K650" s="70"/>
      <c r="L650" s="70"/>
    </row>
    <row r="651" customFormat="false" ht="23.25" hidden="false" customHeight="true" outlineLevel="0" collapsed="false">
      <c r="A651" s="69" t="s">
        <v>1700</v>
      </c>
      <c r="B651" s="13" t="s">
        <v>27</v>
      </c>
      <c r="C651" s="30" t="s">
        <v>1940</v>
      </c>
      <c r="D651" s="31" t="s">
        <v>1474</v>
      </c>
      <c r="E651" s="31" t="s">
        <v>1938</v>
      </c>
      <c r="F651" s="31" t="s">
        <v>1939</v>
      </c>
      <c r="G651" s="31" t="s">
        <v>115</v>
      </c>
      <c r="H651" s="31" t="s">
        <v>116</v>
      </c>
      <c r="I651" s="33" t="s">
        <v>358</v>
      </c>
      <c r="J651" s="70"/>
      <c r="K651" s="70"/>
      <c r="L651" s="70"/>
    </row>
    <row r="652" customFormat="false" ht="23.25" hidden="false" customHeight="true" outlineLevel="0" collapsed="false">
      <c r="A652" s="69" t="s">
        <v>1700</v>
      </c>
      <c r="B652" s="13" t="s">
        <v>27</v>
      </c>
      <c r="C652" s="30" t="s">
        <v>1941</v>
      </c>
      <c r="D652" s="31" t="s">
        <v>1474</v>
      </c>
      <c r="E652" s="31" t="s">
        <v>1938</v>
      </c>
      <c r="F652" s="31" t="s">
        <v>1939</v>
      </c>
      <c r="G652" s="31" t="s">
        <v>115</v>
      </c>
      <c r="H652" s="31" t="s">
        <v>132</v>
      </c>
      <c r="I652" s="33" t="s">
        <v>358</v>
      </c>
      <c r="J652" s="70"/>
      <c r="K652" s="70"/>
      <c r="L652" s="70"/>
    </row>
    <row r="653" customFormat="false" ht="23.25" hidden="false" customHeight="true" outlineLevel="0" collapsed="false">
      <c r="A653" s="69" t="s">
        <v>1700</v>
      </c>
      <c r="B653" s="13" t="s">
        <v>36</v>
      </c>
      <c r="C653" s="30" t="s">
        <v>1942</v>
      </c>
      <c r="D653" s="31" t="s">
        <v>1943</v>
      </c>
      <c r="E653" s="31" t="s">
        <v>1944</v>
      </c>
      <c r="F653" s="31" t="s">
        <v>1945</v>
      </c>
      <c r="G653" s="31" t="s">
        <v>1068</v>
      </c>
      <c r="H653" s="31" t="s">
        <v>211</v>
      </c>
      <c r="I653" s="33" t="s">
        <v>1946</v>
      </c>
      <c r="J653" s="70"/>
      <c r="K653" s="70"/>
      <c r="L653" s="70"/>
    </row>
    <row r="654" customFormat="false" ht="23.25" hidden="false" customHeight="true" outlineLevel="0" collapsed="false">
      <c r="A654" s="69" t="s">
        <v>1700</v>
      </c>
      <c r="B654" s="13" t="s">
        <v>26</v>
      </c>
      <c r="C654" s="30" t="s">
        <v>1947</v>
      </c>
      <c r="D654" s="31" t="s">
        <v>1948</v>
      </c>
      <c r="E654" s="31" t="s">
        <v>1949</v>
      </c>
      <c r="F654" s="31" t="s">
        <v>1950</v>
      </c>
      <c r="G654" s="31" t="s">
        <v>107</v>
      </c>
      <c r="H654" s="31" t="s">
        <v>245</v>
      </c>
      <c r="I654" s="33" t="s">
        <v>1836</v>
      </c>
      <c r="J654" s="70"/>
      <c r="K654" s="70"/>
      <c r="L654" s="70"/>
    </row>
    <row r="655" customFormat="false" ht="23.25" hidden="false" customHeight="true" outlineLevel="0" collapsed="false">
      <c r="A655" s="69" t="s">
        <v>1700</v>
      </c>
      <c r="B655" s="13" t="s">
        <v>27</v>
      </c>
      <c r="C655" s="30" t="s">
        <v>1951</v>
      </c>
      <c r="D655" s="31" t="s">
        <v>1948</v>
      </c>
      <c r="E655" s="31" t="s">
        <v>1952</v>
      </c>
      <c r="F655" s="31" t="s">
        <v>1953</v>
      </c>
      <c r="G655" s="31" t="s">
        <v>142</v>
      </c>
      <c r="H655" s="31" t="s">
        <v>1204</v>
      </c>
      <c r="I655" s="33" t="s">
        <v>242</v>
      </c>
      <c r="J655" s="70"/>
      <c r="K655" s="70"/>
      <c r="L655" s="70"/>
    </row>
    <row r="656" customFormat="false" ht="23.25" hidden="false" customHeight="true" outlineLevel="0" collapsed="false">
      <c r="A656" s="69" t="s">
        <v>1700</v>
      </c>
      <c r="B656" s="13" t="s">
        <v>28</v>
      </c>
      <c r="C656" s="30" t="s">
        <v>1954</v>
      </c>
      <c r="D656" s="31" t="s">
        <v>1955</v>
      </c>
      <c r="E656" s="31" t="s">
        <v>1956</v>
      </c>
      <c r="F656" s="31" t="s">
        <v>1957</v>
      </c>
      <c r="G656" s="31" t="s">
        <v>1068</v>
      </c>
      <c r="H656" s="31" t="s">
        <v>245</v>
      </c>
      <c r="I656" s="33" t="s">
        <v>242</v>
      </c>
      <c r="J656" s="70"/>
      <c r="K656" s="70"/>
      <c r="L656" s="70"/>
    </row>
    <row r="657" customFormat="false" ht="23.25" hidden="false" customHeight="true" outlineLevel="0" collapsed="false">
      <c r="A657" s="69" t="s">
        <v>1700</v>
      </c>
      <c r="B657" s="13" t="s">
        <v>28</v>
      </c>
      <c r="C657" s="30" t="s">
        <v>1958</v>
      </c>
      <c r="D657" s="31" t="s">
        <v>1955</v>
      </c>
      <c r="E657" s="31" t="s">
        <v>578</v>
      </c>
      <c r="F657" s="31" t="s">
        <v>579</v>
      </c>
      <c r="G657" s="31" t="s">
        <v>73</v>
      </c>
      <c r="H657" s="31" t="s">
        <v>199</v>
      </c>
      <c r="I657" s="33" t="s">
        <v>242</v>
      </c>
      <c r="J657" s="70"/>
      <c r="K657" s="70"/>
      <c r="L657" s="70"/>
    </row>
    <row r="658" customFormat="false" ht="23.25" hidden="false" customHeight="true" outlineLevel="0" collapsed="false">
      <c r="A658" s="69" t="s">
        <v>1700</v>
      </c>
      <c r="B658" s="13" t="s">
        <v>28</v>
      </c>
      <c r="C658" s="30" t="s">
        <v>1959</v>
      </c>
      <c r="D658" s="31" t="s">
        <v>1955</v>
      </c>
      <c r="E658" s="31" t="s">
        <v>578</v>
      </c>
      <c r="F658" s="31" t="s">
        <v>579</v>
      </c>
      <c r="G658" s="31" t="s">
        <v>73</v>
      </c>
      <c r="H658" s="31" t="s">
        <v>197</v>
      </c>
      <c r="I658" s="33" t="s">
        <v>242</v>
      </c>
      <c r="J658" s="70"/>
      <c r="K658" s="70"/>
      <c r="L658" s="70"/>
    </row>
    <row r="659" customFormat="false" ht="23.25" hidden="false" customHeight="true" outlineLevel="0" collapsed="false">
      <c r="A659" s="69" t="s">
        <v>1700</v>
      </c>
      <c r="B659" s="13" t="s">
        <v>34</v>
      </c>
      <c r="C659" s="30" t="s">
        <v>1960</v>
      </c>
      <c r="D659" s="31" t="s">
        <v>1961</v>
      </c>
      <c r="E659" s="31" t="s">
        <v>1962</v>
      </c>
      <c r="F659" s="31" t="s">
        <v>1963</v>
      </c>
      <c r="G659" s="31" t="s">
        <v>1068</v>
      </c>
      <c r="H659" s="31" t="s">
        <v>249</v>
      </c>
      <c r="I659" s="33" t="s">
        <v>242</v>
      </c>
      <c r="J659" s="70"/>
      <c r="K659" s="70"/>
      <c r="L659" s="70"/>
    </row>
    <row r="660" customFormat="false" ht="23.25" hidden="false" customHeight="true" outlineLevel="0" collapsed="false">
      <c r="A660" s="69" t="s">
        <v>1700</v>
      </c>
      <c r="B660" s="13" t="s">
        <v>30</v>
      </c>
      <c r="C660" s="30" t="s">
        <v>1964</v>
      </c>
      <c r="D660" s="31" t="s">
        <v>358</v>
      </c>
      <c r="E660" s="31" t="s">
        <v>1965</v>
      </c>
      <c r="F660" s="31" t="s">
        <v>1966</v>
      </c>
      <c r="G660" s="31" t="s">
        <v>115</v>
      </c>
      <c r="H660" s="31" t="s">
        <v>739</v>
      </c>
      <c r="I660" s="33" t="s">
        <v>1967</v>
      </c>
      <c r="J660" s="70"/>
      <c r="K660" s="70"/>
      <c r="L660" s="70"/>
    </row>
    <row r="661" customFormat="false" ht="23.25" hidden="false" customHeight="true" outlineLevel="0" collapsed="false">
      <c r="A661" s="69" t="s">
        <v>1700</v>
      </c>
      <c r="B661" s="13" t="s">
        <v>28</v>
      </c>
      <c r="C661" s="30" t="s">
        <v>1968</v>
      </c>
      <c r="D661" s="31" t="s">
        <v>1969</v>
      </c>
      <c r="E661" s="31" t="s">
        <v>1970</v>
      </c>
      <c r="F661" s="31" t="s">
        <v>1971</v>
      </c>
      <c r="G661" s="31" t="s">
        <v>73</v>
      </c>
      <c r="H661" s="31" t="s">
        <v>90</v>
      </c>
      <c r="I661" s="33" t="s">
        <v>242</v>
      </c>
      <c r="J661" s="70"/>
      <c r="K661" s="70"/>
      <c r="L661" s="70"/>
    </row>
    <row r="662" customFormat="false" ht="23.25" hidden="false" customHeight="true" outlineLevel="0" collapsed="false">
      <c r="A662" s="69" t="s">
        <v>1700</v>
      </c>
      <c r="B662" s="13" t="s">
        <v>28</v>
      </c>
      <c r="C662" s="30" t="s">
        <v>1972</v>
      </c>
      <c r="D662" s="31" t="s">
        <v>1967</v>
      </c>
      <c r="E662" s="31" t="s">
        <v>1257</v>
      </c>
      <c r="F662" s="31" t="s">
        <v>1258</v>
      </c>
      <c r="G662" s="31" t="s">
        <v>1068</v>
      </c>
      <c r="H662" s="31" t="s">
        <v>1236</v>
      </c>
      <c r="I662" s="33" t="s">
        <v>1973</v>
      </c>
      <c r="J662" s="70"/>
      <c r="K662" s="70"/>
      <c r="L662" s="70"/>
    </row>
    <row r="663" customFormat="false" ht="23.25" hidden="false" customHeight="true" outlineLevel="0" collapsed="false">
      <c r="A663" s="69" t="s">
        <v>1700</v>
      </c>
      <c r="B663" s="13" t="s">
        <v>36</v>
      </c>
      <c r="C663" s="30" t="s">
        <v>1974</v>
      </c>
      <c r="D663" s="31" t="s">
        <v>1967</v>
      </c>
      <c r="E663" s="31" t="s">
        <v>1975</v>
      </c>
      <c r="F663" s="31" t="s">
        <v>1976</v>
      </c>
      <c r="G663" s="31" t="s">
        <v>73</v>
      </c>
      <c r="H663" s="31" t="s">
        <v>302</v>
      </c>
      <c r="I663" s="33" t="s">
        <v>242</v>
      </c>
      <c r="J663" s="70"/>
      <c r="K663" s="70"/>
      <c r="L663" s="70"/>
    </row>
    <row r="664" customFormat="false" ht="23.25" hidden="false" customHeight="true" outlineLevel="0" collapsed="false">
      <c r="A664" s="69" t="s">
        <v>1700</v>
      </c>
      <c r="B664" s="13" t="s">
        <v>33</v>
      </c>
      <c r="C664" s="30" t="s">
        <v>1977</v>
      </c>
      <c r="D664" s="31" t="s">
        <v>1978</v>
      </c>
      <c r="E664" s="31" t="s">
        <v>1979</v>
      </c>
      <c r="F664" s="31" t="s">
        <v>1980</v>
      </c>
      <c r="G664" s="31" t="s">
        <v>73</v>
      </c>
      <c r="H664" s="31" t="s">
        <v>134</v>
      </c>
      <c r="I664" s="33" t="s">
        <v>1981</v>
      </c>
      <c r="J664" s="70"/>
      <c r="K664" s="70"/>
      <c r="L664" s="70"/>
    </row>
    <row r="665" customFormat="false" ht="23.25" hidden="false" customHeight="true" outlineLevel="0" collapsed="false">
      <c r="A665" s="69" t="s">
        <v>1700</v>
      </c>
      <c r="B665" s="13" t="s">
        <v>33</v>
      </c>
      <c r="C665" s="30" t="s">
        <v>1982</v>
      </c>
      <c r="D665" s="31" t="s">
        <v>1978</v>
      </c>
      <c r="E665" s="31" t="s">
        <v>1979</v>
      </c>
      <c r="F665" s="31" t="s">
        <v>1980</v>
      </c>
      <c r="G665" s="31" t="s">
        <v>73</v>
      </c>
      <c r="H665" s="31" t="s">
        <v>126</v>
      </c>
      <c r="I665" s="33" t="s">
        <v>1981</v>
      </c>
      <c r="J665" s="70"/>
      <c r="K665" s="70"/>
      <c r="L665" s="70"/>
    </row>
    <row r="666" customFormat="false" ht="23.25" hidden="false" customHeight="true" outlineLevel="0" collapsed="false">
      <c r="A666" s="69" t="s">
        <v>1700</v>
      </c>
      <c r="B666" s="13" t="s">
        <v>34</v>
      </c>
      <c r="C666" s="34" t="s">
        <v>1983</v>
      </c>
      <c r="D666" s="35" t="s">
        <v>389</v>
      </c>
      <c r="E666" s="35" t="s">
        <v>1984</v>
      </c>
      <c r="F666" s="35" t="s">
        <v>1985</v>
      </c>
      <c r="G666" s="35" t="s">
        <v>107</v>
      </c>
      <c r="H666" s="35" t="s">
        <v>245</v>
      </c>
      <c r="I666" s="37" t="s">
        <v>1836</v>
      </c>
      <c r="J666" s="70"/>
      <c r="K666" s="70"/>
      <c r="L666" s="7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&amp;KffffffSayfa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11.53515625" defaultRowHeight="13.5" zeroHeight="false" outlineLevelRow="0" outlineLevelCol="0"/>
  <cols>
    <col collapsed="false" customWidth="true" hidden="false" outlineLevel="0" max="1" min="1" style="4" width="35.7"/>
    <col collapsed="false" customWidth="true" hidden="false" outlineLevel="0" max="2" min="2" style="4" width="22"/>
    <col collapsed="false" customWidth="true" hidden="false" outlineLevel="0" max="3" min="3" style="6" width="25.28"/>
    <col collapsed="false" customWidth="true" hidden="false" outlineLevel="0" max="4" min="4" style="6" width="14.72"/>
    <col collapsed="false" customWidth="true" hidden="false" outlineLevel="0" max="5" min="5" style="6" width="15"/>
    <col collapsed="false" customWidth="true" hidden="false" outlineLevel="0" max="6" min="6" style="4" width="36.83"/>
    <col collapsed="false" customWidth="false" hidden="false" outlineLevel="0" max="8" min="7" style="6" width="11.52"/>
    <col collapsed="false" customWidth="true" hidden="false" outlineLevel="0" max="9" min="9" style="6" width="11.65"/>
    <col collapsed="false" customWidth="false" hidden="false" outlineLevel="0" max="16" min="10" style="6" width="11.52"/>
    <col collapsed="false" customWidth="true" hidden="false" outlineLevel="0" max="17" min="17" style="6" width="20.83"/>
    <col collapsed="false" customWidth="false" hidden="false" outlineLevel="0" max="1024" min="18" style="6" width="11.52"/>
  </cols>
  <sheetData>
    <row r="1" s="4" customFormat="true" ht="34.5" hidden="false" customHeight="true" outlineLevel="0" collapsed="false">
      <c r="A1" s="7" t="s">
        <v>45</v>
      </c>
      <c r="B1" s="8" t="s">
        <v>1</v>
      </c>
      <c r="C1" s="45" t="s">
        <v>1986</v>
      </c>
      <c r="D1" s="46" t="s">
        <v>51</v>
      </c>
      <c r="E1" s="46" t="s">
        <v>498</v>
      </c>
      <c r="F1" s="46" t="s">
        <v>52</v>
      </c>
      <c r="G1" s="46" t="s">
        <v>53</v>
      </c>
      <c r="H1" s="46" t="s">
        <v>1987</v>
      </c>
      <c r="I1" s="46" t="s">
        <v>1988</v>
      </c>
      <c r="J1" s="46" t="s">
        <v>1989</v>
      </c>
      <c r="K1" s="46" t="s">
        <v>237</v>
      </c>
      <c r="L1" s="46" t="s">
        <v>1990</v>
      </c>
      <c r="M1" s="46" t="s">
        <v>1991</v>
      </c>
      <c r="N1" s="46" t="s">
        <v>558</v>
      </c>
      <c r="O1" s="46" t="s">
        <v>1992</v>
      </c>
      <c r="P1" s="46" t="s">
        <v>1993</v>
      </c>
      <c r="Q1" s="47" t="s">
        <v>58</v>
      </c>
    </row>
    <row r="2" customFormat="false" ht="45.75" hidden="false" customHeight="true" outlineLevel="0" collapsed="false">
      <c r="A2" s="12" t="s">
        <v>1994</v>
      </c>
      <c r="B2" s="13" t="s">
        <v>34</v>
      </c>
      <c r="C2" s="71" t="s">
        <v>1995</v>
      </c>
      <c r="D2" s="72" t="s">
        <v>1996</v>
      </c>
      <c r="E2" s="72"/>
      <c r="F2" s="49" t="s">
        <v>1997</v>
      </c>
      <c r="G2" s="72" t="s">
        <v>1998</v>
      </c>
      <c r="H2" s="72" t="s">
        <v>1999</v>
      </c>
      <c r="I2" s="72" t="s">
        <v>2000</v>
      </c>
      <c r="J2" s="72" t="s">
        <v>2001</v>
      </c>
      <c r="K2" s="72"/>
      <c r="L2" s="72"/>
      <c r="M2" s="73" t="n">
        <v>4665.8</v>
      </c>
      <c r="N2" s="72" t="s">
        <v>2002</v>
      </c>
      <c r="O2" s="72" t="s">
        <v>2003</v>
      </c>
      <c r="P2" s="72" t="s">
        <v>77</v>
      </c>
      <c r="Q2" s="74" t="s">
        <v>78</v>
      </c>
    </row>
    <row r="3" customFormat="false" ht="45.75" hidden="false" customHeight="true" outlineLevel="0" collapsed="false">
      <c r="A3" s="12" t="s">
        <v>1994</v>
      </c>
      <c r="B3" s="13" t="s">
        <v>37</v>
      </c>
      <c r="C3" s="71" t="s">
        <v>2004</v>
      </c>
      <c r="D3" s="72" t="s">
        <v>2005</v>
      </c>
      <c r="E3" s="72" t="s">
        <v>2006</v>
      </c>
      <c r="F3" s="49" t="s">
        <v>2007</v>
      </c>
      <c r="G3" s="72" t="s">
        <v>2008</v>
      </c>
      <c r="H3" s="72" t="s">
        <v>1999</v>
      </c>
      <c r="I3" s="72" t="s">
        <v>2000</v>
      </c>
      <c r="J3" s="72" t="s">
        <v>2009</v>
      </c>
      <c r="K3" s="72"/>
      <c r="L3" s="72"/>
      <c r="M3" s="73" t="n">
        <v>305.2</v>
      </c>
      <c r="N3" s="72" t="s">
        <v>2010</v>
      </c>
      <c r="O3" s="72" t="s">
        <v>2003</v>
      </c>
      <c r="P3" s="72" t="s">
        <v>77</v>
      </c>
      <c r="Q3" s="74" t="s">
        <v>78</v>
      </c>
    </row>
    <row r="4" customFormat="false" ht="45.75" hidden="false" customHeight="true" outlineLevel="0" collapsed="false">
      <c r="A4" s="12" t="s">
        <v>1994</v>
      </c>
      <c r="B4" s="13" t="s">
        <v>34</v>
      </c>
      <c r="C4" s="71" t="s">
        <v>2011</v>
      </c>
      <c r="D4" s="72" t="s">
        <v>2012</v>
      </c>
      <c r="E4" s="72"/>
      <c r="F4" s="49" t="s">
        <v>2013</v>
      </c>
      <c r="G4" s="72" t="s">
        <v>2014</v>
      </c>
      <c r="H4" s="72" t="s">
        <v>2015</v>
      </c>
      <c r="I4" s="72" t="s">
        <v>2015</v>
      </c>
      <c r="J4" s="72" t="s">
        <v>2016</v>
      </c>
      <c r="K4" s="72"/>
      <c r="L4" s="72"/>
      <c r="M4" s="73" t="n">
        <v>637.9</v>
      </c>
      <c r="N4" s="72" t="s">
        <v>2017</v>
      </c>
      <c r="O4" s="72" t="s">
        <v>2003</v>
      </c>
      <c r="P4" s="72" t="s">
        <v>77</v>
      </c>
      <c r="Q4" s="74" t="s">
        <v>78</v>
      </c>
    </row>
    <row r="5" customFormat="false" ht="45.75" hidden="false" customHeight="true" outlineLevel="0" collapsed="false">
      <c r="A5" s="12" t="s">
        <v>1994</v>
      </c>
      <c r="B5" s="13" t="s">
        <v>36</v>
      </c>
      <c r="C5" s="71" t="s">
        <v>2018</v>
      </c>
      <c r="D5" s="72" t="s">
        <v>2019</v>
      </c>
      <c r="E5" s="72"/>
      <c r="F5" s="49" t="s">
        <v>2020</v>
      </c>
      <c r="G5" s="72" t="s">
        <v>2014</v>
      </c>
      <c r="H5" s="72" t="s">
        <v>1999</v>
      </c>
      <c r="I5" s="72" t="s">
        <v>2000</v>
      </c>
      <c r="J5" s="72" t="s">
        <v>2021</v>
      </c>
      <c r="K5" s="72"/>
      <c r="L5" s="72"/>
      <c r="M5" s="73" t="n">
        <v>637.9</v>
      </c>
      <c r="N5" s="72" t="s">
        <v>2022</v>
      </c>
      <c r="O5" s="72" t="s">
        <v>2003</v>
      </c>
      <c r="P5" s="72" t="s">
        <v>77</v>
      </c>
      <c r="Q5" s="74" t="s">
        <v>78</v>
      </c>
    </row>
    <row r="6" customFormat="false" ht="45.75" hidden="false" customHeight="true" outlineLevel="0" collapsed="false">
      <c r="A6" s="12" t="s">
        <v>1994</v>
      </c>
      <c r="B6" s="13" t="s">
        <v>37</v>
      </c>
      <c r="C6" s="71" t="s">
        <v>2023</v>
      </c>
      <c r="D6" s="72" t="s">
        <v>2024</v>
      </c>
      <c r="E6" s="72" t="s">
        <v>2025</v>
      </c>
      <c r="F6" s="49" t="s">
        <v>2026</v>
      </c>
      <c r="G6" s="72" t="s">
        <v>2014</v>
      </c>
      <c r="H6" s="72" t="s">
        <v>1999</v>
      </c>
      <c r="I6" s="72" t="s">
        <v>2000</v>
      </c>
      <c r="J6" s="72" t="s">
        <v>2027</v>
      </c>
      <c r="K6" s="72"/>
      <c r="L6" s="72"/>
      <c r="M6" s="73" t="n">
        <v>78.2</v>
      </c>
      <c r="N6" s="72" t="s">
        <v>2028</v>
      </c>
      <c r="O6" s="72" t="s">
        <v>2003</v>
      </c>
      <c r="P6" s="72" t="s">
        <v>77</v>
      </c>
      <c r="Q6" s="74" t="s">
        <v>78</v>
      </c>
    </row>
    <row r="7" customFormat="false" ht="45.75" hidden="false" customHeight="true" outlineLevel="0" collapsed="false">
      <c r="A7" s="12" t="s">
        <v>1994</v>
      </c>
      <c r="B7" s="13" t="s">
        <v>37</v>
      </c>
      <c r="C7" s="71" t="s">
        <v>2029</v>
      </c>
      <c r="D7" s="72" t="s">
        <v>2030</v>
      </c>
      <c r="E7" s="72" t="s">
        <v>2031</v>
      </c>
      <c r="F7" s="49" t="s">
        <v>2032</v>
      </c>
      <c r="G7" s="72" t="s">
        <v>2014</v>
      </c>
      <c r="H7" s="72" t="s">
        <v>1999</v>
      </c>
      <c r="I7" s="72" t="s">
        <v>2000</v>
      </c>
      <c r="J7" s="72" t="s">
        <v>2027</v>
      </c>
      <c r="K7" s="72"/>
      <c r="L7" s="72"/>
      <c r="M7" s="73" t="n">
        <v>78.2</v>
      </c>
      <c r="N7" s="72" t="s">
        <v>2033</v>
      </c>
      <c r="O7" s="72" t="s">
        <v>2003</v>
      </c>
      <c r="P7" s="72" t="s">
        <v>77</v>
      </c>
      <c r="Q7" s="74" t="s">
        <v>78</v>
      </c>
    </row>
    <row r="8" customFormat="false" ht="45.75" hidden="false" customHeight="true" outlineLevel="0" collapsed="false">
      <c r="A8" s="12" t="s">
        <v>1994</v>
      </c>
      <c r="B8" s="13" t="s">
        <v>37</v>
      </c>
      <c r="C8" s="71" t="s">
        <v>2034</v>
      </c>
      <c r="D8" s="72" t="s">
        <v>2035</v>
      </c>
      <c r="E8" s="72" t="s">
        <v>2036</v>
      </c>
      <c r="F8" s="49" t="s">
        <v>2037</v>
      </c>
      <c r="G8" s="72" t="s">
        <v>2014</v>
      </c>
      <c r="H8" s="72" t="s">
        <v>1999</v>
      </c>
      <c r="I8" s="72" t="s">
        <v>2000</v>
      </c>
      <c r="J8" s="72" t="s">
        <v>2027</v>
      </c>
      <c r="K8" s="72"/>
      <c r="L8" s="72"/>
      <c r="M8" s="73" t="n">
        <v>78.2</v>
      </c>
      <c r="N8" s="72" t="s">
        <v>2038</v>
      </c>
      <c r="O8" s="72" t="s">
        <v>2003</v>
      </c>
      <c r="P8" s="72" t="s">
        <v>77</v>
      </c>
      <c r="Q8" s="74" t="s">
        <v>78</v>
      </c>
    </row>
    <row r="9" customFormat="false" ht="45.75" hidden="false" customHeight="true" outlineLevel="0" collapsed="false">
      <c r="A9" s="12" t="s">
        <v>1994</v>
      </c>
      <c r="B9" s="13" t="s">
        <v>37</v>
      </c>
      <c r="C9" s="71" t="s">
        <v>2039</v>
      </c>
      <c r="D9" s="72" t="s">
        <v>2040</v>
      </c>
      <c r="E9" s="72" t="s">
        <v>2041</v>
      </c>
      <c r="F9" s="49" t="s">
        <v>2042</v>
      </c>
      <c r="G9" s="72" t="s">
        <v>2014</v>
      </c>
      <c r="H9" s="72" t="s">
        <v>1999</v>
      </c>
      <c r="I9" s="72" t="s">
        <v>2000</v>
      </c>
      <c r="J9" s="72" t="s">
        <v>2027</v>
      </c>
      <c r="K9" s="72"/>
      <c r="L9" s="72"/>
      <c r="M9" s="73" t="n">
        <v>78.2</v>
      </c>
      <c r="N9" s="72" t="s">
        <v>2043</v>
      </c>
      <c r="O9" s="72" t="s">
        <v>2003</v>
      </c>
      <c r="P9" s="72" t="s">
        <v>77</v>
      </c>
      <c r="Q9" s="74" t="s">
        <v>78</v>
      </c>
    </row>
    <row r="10" customFormat="false" ht="45.75" hidden="false" customHeight="true" outlineLevel="0" collapsed="false">
      <c r="A10" s="12" t="s">
        <v>1994</v>
      </c>
      <c r="B10" s="13" t="s">
        <v>36</v>
      </c>
      <c r="C10" s="71" t="s">
        <v>2044</v>
      </c>
      <c r="D10" s="72" t="s">
        <v>2045</v>
      </c>
      <c r="E10" s="72" t="s">
        <v>2046</v>
      </c>
      <c r="F10" s="49" t="s">
        <v>2047</v>
      </c>
      <c r="G10" s="72" t="s">
        <v>2014</v>
      </c>
      <c r="H10" s="72" t="s">
        <v>1999</v>
      </c>
      <c r="I10" s="72" t="s">
        <v>2000</v>
      </c>
      <c r="J10" s="72" t="s">
        <v>2048</v>
      </c>
      <c r="K10" s="72"/>
      <c r="L10" s="72"/>
      <c r="M10" s="73" t="n">
        <v>78.2</v>
      </c>
      <c r="N10" s="72" t="s">
        <v>2049</v>
      </c>
      <c r="O10" s="72" t="s">
        <v>2003</v>
      </c>
      <c r="P10" s="72" t="s">
        <v>77</v>
      </c>
      <c r="Q10" s="74" t="s">
        <v>78</v>
      </c>
    </row>
    <row r="11" customFormat="false" ht="45.75" hidden="false" customHeight="true" outlineLevel="0" collapsed="false">
      <c r="A11" s="12" t="s">
        <v>1994</v>
      </c>
      <c r="B11" s="13" t="s">
        <v>37</v>
      </c>
      <c r="C11" s="71" t="s">
        <v>2050</v>
      </c>
      <c r="D11" s="72" t="s">
        <v>2051</v>
      </c>
      <c r="E11" s="72"/>
      <c r="F11" s="49" t="s">
        <v>2052</v>
      </c>
      <c r="G11" s="72" t="s">
        <v>2014</v>
      </c>
      <c r="H11" s="72" t="s">
        <v>1999</v>
      </c>
      <c r="I11" s="72" t="s">
        <v>2015</v>
      </c>
      <c r="J11" s="72" t="s">
        <v>2053</v>
      </c>
      <c r="K11" s="72"/>
      <c r="L11" s="72"/>
      <c r="M11" s="73" t="n">
        <v>696</v>
      </c>
      <c r="N11" s="72" t="s">
        <v>2054</v>
      </c>
      <c r="O11" s="72" t="s">
        <v>2003</v>
      </c>
      <c r="P11" s="72" t="s">
        <v>77</v>
      </c>
      <c r="Q11" s="74" t="s">
        <v>78</v>
      </c>
    </row>
    <row r="12" customFormat="false" ht="45.75" hidden="false" customHeight="true" outlineLevel="0" collapsed="false">
      <c r="A12" s="12" t="s">
        <v>1994</v>
      </c>
      <c r="B12" s="13" t="s">
        <v>36</v>
      </c>
      <c r="C12" s="71" t="s">
        <v>2055</v>
      </c>
      <c r="D12" s="72" t="s">
        <v>2056</v>
      </c>
      <c r="E12" s="72"/>
      <c r="F12" s="49" t="s">
        <v>2057</v>
      </c>
      <c r="G12" s="72" t="s">
        <v>2058</v>
      </c>
      <c r="H12" s="72" t="s">
        <v>1999</v>
      </c>
      <c r="I12" s="72" t="s">
        <v>2000</v>
      </c>
      <c r="J12" s="72" t="s">
        <v>2059</v>
      </c>
      <c r="K12" s="72"/>
      <c r="L12" s="72"/>
      <c r="M12" s="73" t="n">
        <v>145389.52</v>
      </c>
      <c r="N12" s="72" t="s">
        <v>2060</v>
      </c>
      <c r="O12" s="72" t="s">
        <v>2003</v>
      </c>
      <c r="P12" s="72" t="s">
        <v>77</v>
      </c>
      <c r="Q12" s="74" t="s">
        <v>78</v>
      </c>
    </row>
    <row r="13" customFormat="false" ht="45.75" hidden="false" customHeight="true" outlineLevel="0" collapsed="false">
      <c r="A13" s="12" t="s">
        <v>1994</v>
      </c>
      <c r="B13" s="13" t="s">
        <v>36</v>
      </c>
      <c r="C13" s="71" t="s">
        <v>2061</v>
      </c>
      <c r="D13" s="72" t="s">
        <v>2056</v>
      </c>
      <c r="E13" s="72"/>
      <c r="F13" s="49" t="s">
        <v>2057</v>
      </c>
      <c r="G13" s="72" t="s">
        <v>2058</v>
      </c>
      <c r="H13" s="72" t="s">
        <v>1999</v>
      </c>
      <c r="I13" s="72" t="s">
        <v>2000</v>
      </c>
      <c r="J13" s="72" t="s">
        <v>2062</v>
      </c>
      <c r="K13" s="72"/>
      <c r="L13" s="72"/>
      <c r="M13" s="73" t="n">
        <v>12548</v>
      </c>
      <c r="N13" s="72" t="s">
        <v>2063</v>
      </c>
      <c r="O13" s="72" t="s">
        <v>2003</v>
      </c>
      <c r="P13" s="72" t="s">
        <v>77</v>
      </c>
      <c r="Q13" s="74" t="s">
        <v>78</v>
      </c>
    </row>
    <row r="14" customFormat="false" ht="45.75" hidden="false" customHeight="true" outlineLevel="0" collapsed="false">
      <c r="A14" s="12" t="s">
        <v>1994</v>
      </c>
      <c r="B14" s="13" t="s">
        <v>36</v>
      </c>
      <c r="C14" s="71" t="s">
        <v>2064</v>
      </c>
      <c r="D14" s="72" t="s">
        <v>2065</v>
      </c>
      <c r="E14" s="72" t="s">
        <v>2066</v>
      </c>
      <c r="F14" s="49" t="s">
        <v>2067</v>
      </c>
      <c r="G14" s="72" t="s">
        <v>2014</v>
      </c>
      <c r="H14" s="72" t="s">
        <v>1999</v>
      </c>
      <c r="I14" s="72" t="s">
        <v>2000</v>
      </c>
      <c r="J14" s="72" t="s">
        <v>2068</v>
      </c>
      <c r="K14" s="72"/>
      <c r="L14" s="72"/>
      <c r="M14" s="73" t="n">
        <v>947.9</v>
      </c>
      <c r="N14" s="72" t="s">
        <v>2069</v>
      </c>
      <c r="O14" s="72" t="s">
        <v>2003</v>
      </c>
      <c r="P14" s="72" t="s">
        <v>77</v>
      </c>
      <c r="Q14" s="74" t="s">
        <v>78</v>
      </c>
    </row>
    <row r="15" customFormat="false" ht="45.75" hidden="false" customHeight="true" outlineLevel="0" collapsed="false">
      <c r="A15" s="12" t="s">
        <v>1994</v>
      </c>
      <c r="B15" s="13" t="s">
        <v>36</v>
      </c>
      <c r="C15" s="71" t="s">
        <v>2070</v>
      </c>
      <c r="D15" s="72" t="s">
        <v>2071</v>
      </c>
      <c r="E15" s="72"/>
      <c r="F15" s="49" t="s">
        <v>2072</v>
      </c>
      <c r="G15" s="72" t="s">
        <v>1998</v>
      </c>
      <c r="H15" s="72" t="s">
        <v>1999</v>
      </c>
      <c r="I15" s="72" t="s">
        <v>2000</v>
      </c>
      <c r="J15" s="72" t="s">
        <v>2073</v>
      </c>
      <c r="K15" s="72"/>
      <c r="L15" s="72"/>
      <c r="M15" s="73" t="n">
        <v>3463.5</v>
      </c>
      <c r="N15" s="72" t="s">
        <v>2074</v>
      </c>
      <c r="O15" s="72" t="s">
        <v>2003</v>
      </c>
      <c r="P15" s="72" t="s">
        <v>77</v>
      </c>
      <c r="Q15" s="74" t="s">
        <v>78</v>
      </c>
    </row>
    <row r="16" customFormat="false" ht="45.75" hidden="false" customHeight="true" outlineLevel="0" collapsed="false">
      <c r="A16" s="12" t="s">
        <v>1994</v>
      </c>
      <c r="B16" s="13" t="s">
        <v>34</v>
      </c>
      <c r="C16" s="71" t="s">
        <v>2075</v>
      </c>
      <c r="D16" s="72" t="s">
        <v>2076</v>
      </c>
      <c r="E16" s="72"/>
      <c r="F16" s="49" t="s">
        <v>2077</v>
      </c>
      <c r="G16" s="72" t="s">
        <v>2078</v>
      </c>
      <c r="H16" s="72" t="s">
        <v>1999</v>
      </c>
      <c r="I16" s="72" t="s">
        <v>2000</v>
      </c>
      <c r="J16" s="72" t="s">
        <v>2079</v>
      </c>
      <c r="K16" s="72" t="s">
        <v>2079</v>
      </c>
      <c r="L16" s="72"/>
      <c r="M16" s="73" t="n">
        <v>67944.15</v>
      </c>
      <c r="N16" s="72" t="s">
        <v>2080</v>
      </c>
      <c r="O16" s="72" t="s">
        <v>2003</v>
      </c>
      <c r="P16" s="72" t="s">
        <v>77</v>
      </c>
      <c r="Q16" s="74" t="s">
        <v>78</v>
      </c>
    </row>
    <row r="17" customFormat="false" ht="45.75" hidden="false" customHeight="true" outlineLevel="0" collapsed="false">
      <c r="A17" s="12" t="s">
        <v>1994</v>
      </c>
      <c r="B17" s="13" t="s">
        <v>37</v>
      </c>
      <c r="C17" s="71" t="s">
        <v>2081</v>
      </c>
      <c r="D17" s="72" t="s">
        <v>2082</v>
      </c>
      <c r="E17" s="72" t="s">
        <v>2083</v>
      </c>
      <c r="F17" s="49" t="s">
        <v>2084</v>
      </c>
      <c r="G17" s="72" t="s">
        <v>2085</v>
      </c>
      <c r="H17" s="72" t="s">
        <v>2015</v>
      </c>
      <c r="I17" s="72" t="s">
        <v>2000</v>
      </c>
      <c r="J17" s="72" t="s">
        <v>2086</v>
      </c>
      <c r="K17" s="72" t="s">
        <v>2087</v>
      </c>
      <c r="L17" s="72"/>
      <c r="M17" s="73" t="n">
        <v>169</v>
      </c>
      <c r="N17" s="72" t="s">
        <v>2088</v>
      </c>
      <c r="O17" s="72" t="s">
        <v>2003</v>
      </c>
      <c r="P17" s="72" t="s">
        <v>77</v>
      </c>
      <c r="Q17" s="74" t="s">
        <v>78</v>
      </c>
    </row>
    <row r="18" customFormat="false" ht="45.75" hidden="false" customHeight="true" outlineLevel="0" collapsed="false">
      <c r="A18" s="12" t="s">
        <v>1994</v>
      </c>
      <c r="B18" s="13" t="s">
        <v>36</v>
      </c>
      <c r="C18" s="71" t="s">
        <v>2089</v>
      </c>
      <c r="D18" s="72" t="s">
        <v>2090</v>
      </c>
      <c r="E18" s="72"/>
      <c r="F18" s="49" t="s">
        <v>2091</v>
      </c>
      <c r="G18" s="72" t="s">
        <v>2092</v>
      </c>
      <c r="H18" s="72" t="s">
        <v>1999</v>
      </c>
      <c r="I18" s="72" t="s">
        <v>2000</v>
      </c>
      <c r="J18" s="72" t="s">
        <v>2093</v>
      </c>
      <c r="K18" s="72" t="s">
        <v>2094</v>
      </c>
      <c r="L18" s="72"/>
      <c r="M18" s="73" t="n">
        <v>4000</v>
      </c>
      <c r="N18" s="72" t="s">
        <v>2095</v>
      </c>
      <c r="O18" s="72" t="s">
        <v>2003</v>
      </c>
      <c r="P18" s="72" t="s">
        <v>77</v>
      </c>
      <c r="Q18" s="74" t="s">
        <v>78</v>
      </c>
    </row>
    <row r="19" customFormat="false" ht="45.75" hidden="false" customHeight="true" outlineLevel="0" collapsed="false">
      <c r="A19" s="12" t="s">
        <v>1994</v>
      </c>
      <c r="B19" s="13" t="s">
        <v>34</v>
      </c>
      <c r="C19" s="71" t="s">
        <v>2096</v>
      </c>
      <c r="D19" s="72" t="s">
        <v>2097</v>
      </c>
      <c r="E19" s="72"/>
      <c r="F19" s="49" t="s">
        <v>2098</v>
      </c>
      <c r="G19" s="72" t="s">
        <v>2078</v>
      </c>
      <c r="H19" s="72" t="s">
        <v>2015</v>
      </c>
      <c r="I19" s="72" t="s">
        <v>2000</v>
      </c>
      <c r="J19" s="72" t="s">
        <v>2099</v>
      </c>
      <c r="K19" s="72" t="s">
        <v>2100</v>
      </c>
      <c r="L19" s="72"/>
      <c r="M19" s="73" t="n">
        <v>30266.41</v>
      </c>
      <c r="N19" s="72" t="s">
        <v>2101</v>
      </c>
      <c r="O19" s="72" t="s">
        <v>2003</v>
      </c>
      <c r="P19" s="72" t="s">
        <v>77</v>
      </c>
      <c r="Q19" s="74" t="s">
        <v>78</v>
      </c>
    </row>
    <row r="20" customFormat="false" ht="45.75" hidden="false" customHeight="true" outlineLevel="0" collapsed="false">
      <c r="A20" s="12" t="s">
        <v>1994</v>
      </c>
      <c r="B20" s="13" t="s">
        <v>34</v>
      </c>
      <c r="C20" s="14" t="s">
        <v>2102</v>
      </c>
      <c r="D20" s="15" t="s">
        <v>2097</v>
      </c>
      <c r="E20" s="15"/>
      <c r="F20" s="52" t="s">
        <v>2098</v>
      </c>
      <c r="G20" s="15" t="s">
        <v>2078</v>
      </c>
      <c r="H20" s="15" t="s">
        <v>2103</v>
      </c>
      <c r="I20" s="15" t="s">
        <v>2104</v>
      </c>
      <c r="J20" s="15" t="s">
        <v>2099</v>
      </c>
      <c r="K20" s="15" t="s">
        <v>2100</v>
      </c>
      <c r="L20" s="15"/>
      <c r="M20" s="16" t="n">
        <v>30266.41</v>
      </c>
      <c r="N20" s="15" t="s">
        <v>2105</v>
      </c>
      <c r="O20" s="15" t="s">
        <v>2003</v>
      </c>
      <c r="P20" s="15" t="s">
        <v>77</v>
      </c>
      <c r="Q20" s="75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&amp;KffffffSayfa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5" activeCellId="0" sqref="B65"/>
    </sheetView>
  </sheetViews>
  <sheetFormatPr defaultColWidth="11.55078125" defaultRowHeight="13.5" zeroHeight="false" outlineLevelRow="0" outlineLevelCol="0"/>
  <cols>
    <col collapsed="false" customWidth="true" hidden="false" outlineLevel="0" max="1" min="1" style="4" width="39.32"/>
    <col collapsed="false" customWidth="true" hidden="false" outlineLevel="0" max="2" min="2" style="4" width="22"/>
    <col collapsed="false" customWidth="true" hidden="false" outlineLevel="0" max="3" min="3" style="4" width="15.7"/>
    <col collapsed="false" customWidth="true" hidden="false" outlineLevel="0" max="4" min="4" style="4" width="38.76"/>
    <col collapsed="false" customWidth="true" hidden="false" outlineLevel="0" max="5" min="5" style="4" width="17.22"/>
    <col collapsed="false" customWidth="true" hidden="false" outlineLevel="0" max="6" min="6" style="4" width="16.67"/>
    <col collapsed="false" customWidth="true" hidden="false" outlineLevel="0" max="7" min="7" style="4" width="24.87"/>
    <col collapsed="false" customWidth="true" hidden="false" outlineLevel="0" max="8" min="8" style="4" width="17.92"/>
    <col collapsed="false" customWidth="true" hidden="false" outlineLevel="0" max="9" min="9" style="4" width="15.97"/>
    <col collapsed="false" customWidth="true" hidden="false" outlineLevel="0" max="10" min="10" style="4" width="24.73"/>
    <col collapsed="false" customWidth="true" hidden="false" outlineLevel="0" max="11" min="11" style="4" width="48.77"/>
    <col collapsed="false" customWidth="true" hidden="false" outlineLevel="0" max="12" min="12" style="4" width="19.72"/>
    <col collapsed="false" customWidth="false" hidden="false" outlineLevel="0" max="1022" min="13" style="4" width="11.54"/>
    <col collapsed="false" customWidth="false" hidden="false" outlineLevel="0" max="1024" min="1023" style="4" width="11.52"/>
  </cols>
  <sheetData>
    <row r="1" customFormat="false" ht="23.25" hidden="false" customHeight="true" outlineLevel="0" collapsed="false">
      <c r="A1" s="76" t="s">
        <v>45</v>
      </c>
      <c r="B1" s="46" t="s">
        <v>1</v>
      </c>
      <c r="C1" s="46" t="s">
        <v>51</v>
      </c>
      <c r="D1" s="46" t="s">
        <v>52</v>
      </c>
      <c r="E1" s="46" t="s">
        <v>53</v>
      </c>
      <c r="F1" s="46" t="s">
        <v>418</v>
      </c>
      <c r="G1" s="46" t="s">
        <v>558</v>
      </c>
      <c r="H1" s="46" t="s">
        <v>2106</v>
      </c>
      <c r="I1" s="46" t="s">
        <v>2107</v>
      </c>
      <c r="J1" s="47" t="s">
        <v>2108</v>
      </c>
      <c r="K1" s="45" t="s">
        <v>45</v>
      </c>
    </row>
    <row r="2" customFormat="false" ht="57" hidden="false" customHeight="true" outlineLevel="0" collapsed="false">
      <c r="A2" s="12" t="s">
        <v>2109</v>
      </c>
      <c r="B2" s="13" t="s">
        <v>29</v>
      </c>
      <c r="C2" s="49" t="s">
        <v>2110</v>
      </c>
      <c r="D2" s="49" t="s">
        <v>2111</v>
      </c>
      <c r="E2" s="49" t="s">
        <v>107</v>
      </c>
      <c r="F2" s="49" t="s">
        <v>108</v>
      </c>
      <c r="G2" s="49" t="s">
        <v>2112</v>
      </c>
      <c r="H2" s="49" t="s">
        <v>2113</v>
      </c>
      <c r="I2" s="49" t="s">
        <v>2114</v>
      </c>
      <c r="J2" s="77" t="s">
        <v>2115</v>
      </c>
      <c r="K2" s="48" t="s">
        <v>2116</v>
      </c>
    </row>
    <row r="3" customFormat="false" ht="57" hidden="false" customHeight="true" outlineLevel="0" collapsed="false">
      <c r="A3" s="12" t="s">
        <v>2109</v>
      </c>
      <c r="B3" s="13" t="s">
        <v>30</v>
      </c>
      <c r="C3" s="52" t="s">
        <v>2117</v>
      </c>
      <c r="D3" s="52" t="s">
        <v>2118</v>
      </c>
      <c r="E3" s="52" t="s">
        <v>2119</v>
      </c>
      <c r="F3" s="52" t="s">
        <v>249</v>
      </c>
      <c r="G3" s="52" t="s">
        <v>2120</v>
      </c>
      <c r="H3" s="52" t="s">
        <v>2121</v>
      </c>
      <c r="I3" s="52" t="s">
        <v>2114</v>
      </c>
      <c r="J3" s="78" t="s">
        <v>2115</v>
      </c>
      <c r="K3" s="51" t="s">
        <v>2116</v>
      </c>
    </row>
    <row r="7" customFormat="false" ht="23.25" hidden="false" customHeight="true" outlineLevel="0" collapsed="false">
      <c r="A7" s="76" t="s">
        <v>45</v>
      </c>
      <c r="B7" s="46" t="s">
        <v>1</v>
      </c>
      <c r="C7" s="45" t="s">
        <v>51</v>
      </c>
      <c r="D7" s="46" t="s">
        <v>52</v>
      </c>
      <c r="E7" s="47" t="s">
        <v>2122</v>
      </c>
      <c r="F7" s="54"/>
      <c r="G7" s="79"/>
    </row>
    <row r="8" customFormat="false" ht="23.25" hidden="false" customHeight="true" outlineLevel="0" collapsed="false">
      <c r="A8" s="12" t="s">
        <v>2123</v>
      </c>
      <c r="B8" s="13" t="s">
        <v>27</v>
      </c>
      <c r="C8" s="48" t="s">
        <v>2124</v>
      </c>
      <c r="D8" s="49" t="s">
        <v>2125</v>
      </c>
      <c r="E8" s="77" t="s">
        <v>2126</v>
      </c>
      <c r="F8" s="56"/>
      <c r="G8" s="5"/>
    </row>
    <row r="9" customFormat="false" ht="23.25" hidden="false" customHeight="true" outlineLevel="0" collapsed="false">
      <c r="A9" s="12" t="s">
        <v>2123</v>
      </c>
      <c r="B9" s="13" t="s">
        <v>29</v>
      </c>
      <c r="C9" s="59" t="s">
        <v>2127</v>
      </c>
      <c r="D9" s="60" t="s">
        <v>2128</v>
      </c>
      <c r="E9" s="80" t="s">
        <v>1573</v>
      </c>
      <c r="F9" s="56"/>
      <c r="G9" s="5"/>
    </row>
    <row r="10" customFormat="false" ht="23.25" hidden="false" customHeight="true" outlineLevel="0" collapsed="false">
      <c r="A10" s="12" t="s">
        <v>2123</v>
      </c>
      <c r="B10" s="13" t="s">
        <v>29</v>
      </c>
      <c r="C10" s="48" t="s">
        <v>2129</v>
      </c>
      <c r="D10" s="49" t="s">
        <v>2130</v>
      </c>
      <c r="E10" s="77" t="s">
        <v>1755</v>
      </c>
      <c r="F10" s="56"/>
      <c r="G10" s="5"/>
    </row>
    <row r="11" customFormat="false" ht="23.25" hidden="false" customHeight="true" outlineLevel="0" collapsed="false">
      <c r="A11" s="12" t="s">
        <v>2123</v>
      </c>
      <c r="B11" s="13" t="s">
        <v>29</v>
      </c>
      <c r="C11" s="48" t="s">
        <v>1619</v>
      </c>
      <c r="D11" s="49" t="s">
        <v>1620</v>
      </c>
      <c r="E11" s="77" t="s">
        <v>2131</v>
      </c>
      <c r="F11" s="56"/>
      <c r="G11" s="5"/>
    </row>
    <row r="12" customFormat="false" ht="23.25" hidden="false" customHeight="true" outlineLevel="0" collapsed="false">
      <c r="A12" s="12" t="s">
        <v>2123</v>
      </c>
      <c r="B12" s="13" t="s">
        <v>29</v>
      </c>
      <c r="C12" s="48" t="s">
        <v>2132</v>
      </c>
      <c r="D12" s="49" t="s">
        <v>2133</v>
      </c>
      <c r="E12" s="77" t="s">
        <v>2134</v>
      </c>
      <c r="F12" s="56"/>
      <c r="G12" s="5"/>
    </row>
    <row r="13" customFormat="false" ht="23.25" hidden="false" customHeight="true" outlineLevel="0" collapsed="false">
      <c r="A13" s="12" t="s">
        <v>2123</v>
      </c>
      <c r="B13" s="13" t="s">
        <v>30</v>
      </c>
      <c r="C13" s="48" t="s">
        <v>2135</v>
      </c>
      <c r="D13" s="49" t="s">
        <v>2136</v>
      </c>
      <c r="E13" s="77" t="s">
        <v>2134</v>
      </c>
      <c r="F13" s="56"/>
      <c r="G13" s="5"/>
    </row>
    <row r="14" customFormat="false" ht="23.25" hidden="false" customHeight="true" outlineLevel="0" collapsed="false">
      <c r="A14" s="12" t="s">
        <v>2123</v>
      </c>
      <c r="B14" s="13" t="s">
        <v>31</v>
      </c>
      <c r="C14" s="59" t="s">
        <v>2137</v>
      </c>
      <c r="D14" s="60" t="s">
        <v>2138</v>
      </c>
      <c r="E14" s="80" t="s">
        <v>1553</v>
      </c>
      <c r="F14" s="56"/>
      <c r="G14" s="5"/>
    </row>
    <row r="15" customFormat="false" ht="23.25" hidden="false" customHeight="true" outlineLevel="0" collapsed="false">
      <c r="A15" s="12" t="s">
        <v>2123</v>
      </c>
      <c r="B15" s="13" t="s">
        <v>31</v>
      </c>
      <c r="C15" s="48" t="s">
        <v>2139</v>
      </c>
      <c r="D15" s="49" t="s">
        <v>2140</v>
      </c>
      <c r="E15" s="77" t="s">
        <v>2134</v>
      </c>
      <c r="F15" s="56"/>
      <c r="G15" s="5"/>
    </row>
    <row r="16" customFormat="false" ht="23.25" hidden="false" customHeight="true" outlineLevel="0" collapsed="false">
      <c r="A16" s="12" t="s">
        <v>2123</v>
      </c>
      <c r="B16" s="13" t="s">
        <v>31</v>
      </c>
      <c r="C16" s="59" t="s">
        <v>2141</v>
      </c>
      <c r="D16" s="60" t="s">
        <v>2142</v>
      </c>
      <c r="E16" s="80" t="s">
        <v>1553</v>
      </c>
      <c r="F16" s="56"/>
      <c r="G16" s="5"/>
    </row>
    <row r="17" customFormat="false" ht="23.25" hidden="false" customHeight="true" outlineLevel="0" collapsed="false">
      <c r="A17" s="12" t="s">
        <v>2123</v>
      </c>
      <c r="B17" s="13" t="s">
        <v>32</v>
      </c>
      <c r="C17" s="48" t="s">
        <v>2143</v>
      </c>
      <c r="D17" s="49" t="s">
        <v>2144</v>
      </c>
      <c r="E17" s="77" t="s">
        <v>2134</v>
      </c>
      <c r="F17" s="56"/>
      <c r="G17" s="5"/>
    </row>
    <row r="18" customFormat="false" ht="23.25" hidden="false" customHeight="true" outlineLevel="0" collapsed="false">
      <c r="A18" s="12" t="s">
        <v>2123</v>
      </c>
      <c r="B18" s="13" t="s">
        <v>32</v>
      </c>
      <c r="C18" s="48" t="s">
        <v>2145</v>
      </c>
      <c r="D18" s="49" t="s">
        <v>2146</v>
      </c>
      <c r="E18" s="77" t="s">
        <v>462</v>
      </c>
      <c r="F18" s="56"/>
      <c r="G18" s="5"/>
    </row>
    <row r="19" customFormat="false" ht="23.25" hidden="false" customHeight="true" outlineLevel="0" collapsed="false">
      <c r="A19" s="12" t="s">
        <v>2123</v>
      </c>
      <c r="B19" s="13" t="s">
        <v>32</v>
      </c>
      <c r="C19" s="48" t="s">
        <v>2147</v>
      </c>
      <c r="D19" s="49" t="s">
        <v>2148</v>
      </c>
      <c r="E19" s="77" t="s">
        <v>2134</v>
      </c>
      <c r="F19" s="56"/>
      <c r="G19" s="5"/>
    </row>
    <row r="20" customFormat="false" ht="23.25" hidden="false" customHeight="true" outlineLevel="0" collapsed="false">
      <c r="A20" s="12" t="s">
        <v>2123</v>
      </c>
      <c r="B20" s="13" t="s">
        <v>32</v>
      </c>
      <c r="C20" s="48" t="s">
        <v>2149</v>
      </c>
      <c r="D20" s="49" t="s">
        <v>2150</v>
      </c>
      <c r="E20" s="77" t="s">
        <v>2134</v>
      </c>
      <c r="F20" s="56"/>
      <c r="G20" s="5"/>
    </row>
    <row r="21" customFormat="false" ht="23.25" hidden="false" customHeight="true" outlineLevel="0" collapsed="false">
      <c r="A21" s="12" t="s">
        <v>2123</v>
      </c>
      <c r="B21" s="13" t="s">
        <v>33</v>
      </c>
      <c r="C21" s="48" t="s">
        <v>2151</v>
      </c>
      <c r="D21" s="49" t="s">
        <v>2152</v>
      </c>
      <c r="E21" s="77" t="s">
        <v>2153</v>
      </c>
      <c r="F21" s="56"/>
      <c r="G21" s="5"/>
    </row>
    <row r="22" customFormat="false" ht="23.25" hidden="false" customHeight="true" outlineLevel="0" collapsed="false">
      <c r="A22" s="12" t="s">
        <v>2123</v>
      </c>
      <c r="B22" s="13" t="s">
        <v>33</v>
      </c>
      <c r="C22" s="48" t="s">
        <v>2154</v>
      </c>
      <c r="D22" s="49" t="s">
        <v>2155</v>
      </c>
      <c r="E22" s="77" t="s">
        <v>2134</v>
      </c>
      <c r="F22" s="56"/>
      <c r="G22" s="5"/>
    </row>
    <row r="23" customFormat="false" ht="23.25" hidden="false" customHeight="true" outlineLevel="0" collapsed="false">
      <c r="A23" s="12" t="s">
        <v>2123</v>
      </c>
      <c r="B23" s="13" t="s">
        <v>34</v>
      </c>
      <c r="C23" s="48" t="s">
        <v>2156</v>
      </c>
      <c r="D23" s="49" t="s">
        <v>2157</v>
      </c>
      <c r="E23" s="77" t="s">
        <v>2134</v>
      </c>
      <c r="F23" s="56"/>
      <c r="G23" s="5"/>
    </row>
    <row r="24" customFormat="false" ht="23.25" hidden="false" customHeight="true" outlineLevel="0" collapsed="false">
      <c r="A24" s="12" t="s">
        <v>2123</v>
      </c>
      <c r="B24" s="13" t="s">
        <v>34</v>
      </c>
      <c r="C24" s="48" t="s">
        <v>2158</v>
      </c>
      <c r="D24" s="49" t="s">
        <v>2159</v>
      </c>
      <c r="E24" s="77" t="s">
        <v>2160</v>
      </c>
      <c r="F24" s="56"/>
      <c r="G24" s="5"/>
    </row>
    <row r="25" customFormat="false" ht="23.25" hidden="false" customHeight="true" outlineLevel="0" collapsed="false">
      <c r="A25" s="12" t="s">
        <v>2123</v>
      </c>
      <c r="B25" s="13" t="s">
        <v>36</v>
      </c>
      <c r="C25" s="48" t="s">
        <v>2161</v>
      </c>
      <c r="D25" s="49" t="s">
        <v>2162</v>
      </c>
      <c r="E25" s="77" t="s">
        <v>1718</v>
      </c>
      <c r="F25" s="56"/>
      <c r="G25" s="5"/>
    </row>
    <row r="26" customFormat="false" ht="23.25" hidden="false" customHeight="true" outlineLevel="0" collapsed="false">
      <c r="A26" s="12" t="s">
        <v>2123</v>
      </c>
      <c r="B26" s="13" t="s">
        <v>36</v>
      </c>
      <c r="C26" s="48" t="s">
        <v>2163</v>
      </c>
      <c r="D26" s="49" t="s">
        <v>2164</v>
      </c>
      <c r="E26" s="77" t="s">
        <v>2165</v>
      </c>
      <c r="F26" s="56"/>
      <c r="G26" s="5"/>
    </row>
    <row r="27" customFormat="false" ht="23.25" hidden="false" customHeight="true" outlineLevel="0" collapsed="false">
      <c r="A27" s="12" t="s">
        <v>2123</v>
      </c>
      <c r="B27" s="13" t="s">
        <v>37</v>
      </c>
      <c r="C27" s="48" t="s">
        <v>2166</v>
      </c>
      <c r="D27" s="49" t="s">
        <v>2167</v>
      </c>
      <c r="E27" s="77" t="s">
        <v>2134</v>
      </c>
      <c r="F27" s="56"/>
      <c r="G27" s="5"/>
    </row>
    <row r="28" customFormat="false" ht="23.25" hidden="false" customHeight="true" outlineLevel="0" collapsed="false">
      <c r="A28" s="12" t="s">
        <v>2123</v>
      </c>
      <c r="B28" s="13" t="s">
        <v>37</v>
      </c>
      <c r="C28" s="51" t="s">
        <v>2168</v>
      </c>
      <c r="D28" s="52" t="s">
        <v>2169</v>
      </c>
      <c r="E28" s="78" t="s">
        <v>2170</v>
      </c>
      <c r="F28" s="56"/>
      <c r="G28" s="5"/>
    </row>
    <row r="32" customFormat="false" ht="23.25" hidden="false" customHeight="true" outlineLevel="0" collapsed="false">
      <c r="A32" s="76" t="s">
        <v>45</v>
      </c>
      <c r="B32" s="46" t="s">
        <v>1</v>
      </c>
      <c r="C32" s="45" t="s">
        <v>51</v>
      </c>
      <c r="D32" s="46" t="s">
        <v>52</v>
      </c>
      <c r="E32" s="46" t="s">
        <v>57</v>
      </c>
      <c r="F32" s="46" t="s">
        <v>58</v>
      </c>
      <c r="G32" s="47" t="s">
        <v>2122</v>
      </c>
    </row>
    <row r="33" customFormat="false" ht="23.25" hidden="false" customHeight="true" outlineLevel="0" collapsed="false">
      <c r="A33" s="12" t="s">
        <v>2171</v>
      </c>
      <c r="B33" s="13" t="s">
        <v>29</v>
      </c>
      <c r="C33" s="48" t="s">
        <v>2172</v>
      </c>
      <c r="D33" s="49" t="s">
        <v>2173</v>
      </c>
      <c r="E33" s="49" t="s">
        <v>77</v>
      </c>
      <c r="F33" s="49" t="s">
        <v>78</v>
      </c>
      <c r="G33" s="77" t="s">
        <v>2174</v>
      </c>
    </row>
    <row r="34" customFormat="false" ht="23.25" hidden="false" customHeight="true" outlineLevel="0" collapsed="false">
      <c r="A34" s="12" t="s">
        <v>2171</v>
      </c>
      <c r="B34" s="13" t="s">
        <v>31</v>
      </c>
      <c r="C34" s="48" t="s">
        <v>2175</v>
      </c>
      <c r="D34" s="49" t="s">
        <v>2176</v>
      </c>
      <c r="E34" s="49" t="s">
        <v>77</v>
      </c>
      <c r="F34" s="49" t="s">
        <v>78</v>
      </c>
      <c r="G34" s="77" t="s">
        <v>2177</v>
      </c>
    </row>
    <row r="35" customFormat="false" ht="23.25" hidden="false" customHeight="true" outlineLevel="0" collapsed="false">
      <c r="A35" s="12" t="s">
        <v>2171</v>
      </c>
      <c r="B35" s="13" t="s">
        <v>34</v>
      </c>
      <c r="C35" s="48" t="s">
        <v>2178</v>
      </c>
      <c r="D35" s="49" t="s">
        <v>2179</v>
      </c>
      <c r="E35" s="49" t="s">
        <v>77</v>
      </c>
      <c r="F35" s="49" t="s">
        <v>78</v>
      </c>
      <c r="G35" s="77" t="s">
        <v>2180</v>
      </c>
    </row>
    <row r="36" customFormat="false" ht="23.25" hidden="false" customHeight="true" outlineLevel="0" collapsed="false">
      <c r="A36" s="12" t="s">
        <v>2171</v>
      </c>
      <c r="B36" s="13" t="s">
        <v>33</v>
      </c>
      <c r="C36" s="48" t="s">
        <v>2181</v>
      </c>
      <c r="D36" s="49" t="s">
        <v>2182</v>
      </c>
      <c r="E36" s="49" t="s">
        <v>77</v>
      </c>
      <c r="F36" s="49" t="s">
        <v>78</v>
      </c>
      <c r="G36" s="77" t="s">
        <v>327</v>
      </c>
    </row>
    <row r="37" customFormat="false" ht="23.25" hidden="false" customHeight="true" outlineLevel="0" collapsed="false">
      <c r="A37" s="12" t="s">
        <v>2171</v>
      </c>
      <c r="B37" s="13" t="s">
        <v>37</v>
      </c>
      <c r="C37" s="59" t="s">
        <v>2183</v>
      </c>
      <c r="D37" s="60" t="s">
        <v>2184</v>
      </c>
      <c r="E37" s="60" t="s">
        <v>77</v>
      </c>
      <c r="F37" s="60" t="s">
        <v>78</v>
      </c>
      <c r="G37" s="80" t="s">
        <v>233</v>
      </c>
    </row>
    <row r="38" customFormat="false" ht="34.5" hidden="false" customHeight="true" outlineLevel="0" collapsed="false">
      <c r="A38" s="12" t="s">
        <v>2171</v>
      </c>
      <c r="B38" s="13" t="s">
        <v>37</v>
      </c>
      <c r="C38" s="48" t="s">
        <v>2185</v>
      </c>
      <c r="D38" s="49" t="s">
        <v>2186</v>
      </c>
      <c r="E38" s="49" t="s">
        <v>77</v>
      </c>
      <c r="F38" s="49" t="s">
        <v>78</v>
      </c>
      <c r="G38" s="77" t="s">
        <v>2187</v>
      </c>
    </row>
    <row r="39" customFormat="false" ht="23.25" hidden="false" customHeight="true" outlineLevel="0" collapsed="false">
      <c r="A39" s="12" t="s">
        <v>2171</v>
      </c>
      <c r="B39" s="13" t="s">
        <v>37</v>
      </c>
      <c r="C39" s="48" t="s">
        <v>2188</v>
      </c>
      <c r="D39" s="49" t="s">
        <v>2189</v>
      </c>
      <c r="E39" s="49" t="s">
        <v>77</v>
      </c>
      <c r="F39" s="49" t="s">
        <v>78</v>
      </c>
      <c r="G39" s="77" t="s">
        <v>2190</v>
      </c>
    </row>
    <row r="40" customFormat="false" ht="23.25" hidden="false" customHeight="true" outlineLevel="0" collapsed="false">
      <c r="A40" s="12" t="s">
        <v>2171</v>
      </c>
      <c r="B40" s="13" t="s">
        <v>28</v>
      </c>
      <c r="C40" s="48" t="s">
        <v>2191</v>
      </c>
      <c r="D40" s="49" t="s">
        <v>2192</v>
      </c>
      <c r="E40" s="49" t="s">
        <v>77</v>
      </c>
      <c r="F40" s="49" t="s">
        <v>78</v>
      </c>
      <c r="G40" s="77" t="s">
        <v>2193</v>
      </c>
    </row>
    <row r="41" customFormat="false" ht="23.25" hidden="false" customHeight="true" outlineLevel="0" collapsed="false">
      <c r="A41" s="12" t="s">
        <v>2171</v>
      </c>
      <c r="B41" s="13" t="s">
        <v>33</v>
      </c>
      <c r="C41" s="48" t="s">
        <v>2194</v>
      </c>
      <c r="D41" s="49" t="s">
        <v>2195</v>
      </c>
      <c r="E41" s="49" t="s">
        <v>77</v>
      </c>
      <c r="F41" s="49" t="s">
        <v>78</v>
      </c>
      <c r="G41" s="77" t="s">
        <v>2196</v>
      </c>
    </row>
    <row r="42" customFormat="false" ht="23.25" hidden="false" customHeight="true" outlineLevel="0" collapsed="false">
      <c r="A42" s="12" t="s">
        <v>2171</v>
      </c>
      <c r="B42" s="13" t="s">
        <v>36</v>
      </c>
      <c r="C42" s="48" t="s">
        <v>2197</v>
      </c>
      <c r="D42" s="49" t="s">
        <v>2198</v>
      </c>
      <c r="E42" s="49" t="s">
        <v>77</v>
      </c>
      <c r="F42" s="49" t="s">
        <v>78</v>
      </c>
      <c r="G42" s="77" t="s">
        <v>2199</v>
      </c>
    </row>
    <row r="43" customFormat="false" ht="23.25" hidden="false" customHeight="true" outlineLevel="0" collapsed="false">
      <c r="A43" s="12" t="s">
        <v>2171</v>
      </c>
      <c r="B43" s="13" t="s">
        <v>34</v>
      </c>
      <c r="C43" s="48" t="s">
        <v>2200</v>
      </c>
      <c r="D43" s="49" t="s">
        <v>2201</v>
      </c>
      <c r="E43" s="49" t="s">
        <v>77</v>
      </c>
      <c r="F43" s="49" t="s">
        <v>78</v>
      </c>
      <c r="G43" s="77" t="s">
        <v>2202</v>
      </c>
    </row>
    <row r="44" customFormat="false" ht="23.25" hidden="false" customHeight="true" outlineLevel="0" collapsed="false">
      <c r="A44" s="12" t="s">
        <v>2171</v>
      </c>
      <c r="B44" s="13" t="s">
        <v>28</v>
      </c>
      <c r="C44" s="48" t="s">
        <v>2203</v>
      </c>
      <c r="D44" s="49" t="s">
        <v>2204</v>
      </c>
      <c r="E44" s="49" t="s">
        <v>77</v>
      </c>
      <c r="F44" s="49" t="s">
        <v>78</v>
      </c>
      <c r="G44" s="77" t="s">
        <v>1856</v>
      </c>
    </row>
    <row r="45" customFormat="false" ht="23.25" hidden="false" customHeight="true" outlineLevel="0" collapsed="false">
      <c r="A45" s="12" t="s">
        <v>2171</v>
      </c>
      <c r="B45" s="13" t="s">
        <v>31</v>
      </c>
      <c r="C45" s="59" t="s">
        <v>2205</v>
      </c>
      <c r="D45" s="60" t="s">
        <v>2206</v>
      </c>
      <c r="E45" s="60" t="s">
        <v>77</v>
      </c>
      <c r="F45" s="60" t="s">
        <v>78</v>
      </c>
      <c r="G45" s="80" t="s">
        <v>2207</v>
      </c>
    </row>
    <row r="46" customFormat="false" ht="23.25" hidden="false" customHeight="true" outlineLevel="0" collapsed="false">
      <c r="A46" s="12" t="s">
        <v>2171</v>
      </c>
      <c r="B46" s="13" t="s">
        <v>36</v>
      </c>
      <c r="C46" s="48" t="s">
        <v>2208</v>
      </c>
      <c r="D46" s="49" t="s">
        <v>2209</v>
      </c>
      <c r="E46" s="49" t="s">
        <v>77</v>
      </c>
      <c r="F46" s="49" t="s">
        <v>78</v>
      </c>
      <c r="G46" s="77" t="s">
        <v>2210</v>
      </c>
    </row>
    <row r="47" customFormat="false" ht="23.25" hidden="false" customHeight="true" outlineLevel="0" collapsed="false">
      <c r="A47" s="12" t="s">
        <v>2171</v>
      </c>
      <c r="B47" s="13" t="s">
        <v>30</v>
      </c>
      <c r="C47" s="59" t="s">
        <v>2211</v>
      </c>
      <c r="D47" s="60" t="s">
        <v>2212</v>
      </c>
      <c r="E47" s="60" t="s">
        <v>77</v>
      </c>
      <c r="F47" s="60" t="s">
        <v>78</v>
      </c>
      <c r="G47" s="80" t="s">
        <v>2213</v>
      </c>
    </row>
    <row r="48" customFormat="false" ht="23.25" hidden="false" customHeight="true" outlineLevel="0" collapsed="false">
      <c r="A48" s="12" t="s">
        <v>2171</v>
      </c>
      <c r="B48" s="13" t="s">
        <v>30</v>
      </c>
      <c r="C48" s="48" t="s">
        <v>2214</v>
      </c>
      <c r="D48" s="49" t="s">
        <v>2215</v>
      </c>
      <c r="E48" s="49" t="s">
        <v>77</v>
      </c>
      <c r="F48" s="49" t="s">
        <v>78</v>
      </c>
      <c r="G48" s="77" t="s">
        <v>1832</v>
      </c>
    </row>
    <row r="49" customFormat="false" ht="23.25" hidden="false" customHeight="true" outlineLevel="0" collapsed="false">
      <c r="A49" s="12" t="s">
        <v>2171</v>
      </c>
      <c r="B49" s="13" t="s">
        <v>34</v>
      </c>
      <c r="C49" s="63" t="s">
        <v>2216</v>
      </c>
      <c r="D49" s="64" t="s">
        <v>2217</v>
      </c>
      <c r="E49" s="64" t="s">
        <v>77</v>
      </c>
      <c r="F49" s="64" t="s">
        <v>78</v>
      </c>
      <c r="G49" s="81" t="s">
        <v>1521</v>
      </c>
    </row>
    <row r="50" customFormat="false" ht="34.5" hidden="false" customHeight="true" outlineLevel="0" collapsed="false">
      <c r="A50" s="12" t="s">
        <v>2171</v>
      </c>
      <c r="B50" s="13" t="s">
        <v>28</v>
      </c>
      <c r="C50" s="48" t="s">
        <v>2218</v>
      </c>
      <c r="D50" s="49" t="s">
        <v>2219</v>
      </c>
      <c r="E50" s="49" t="s">
        <v>77</v>
      </c>
      <c r="F50" s="49" t="s">
        <v>78</v>
      </c>
      <c r="G50" s="77" t="s">
        <v>2220</v>
      </c>
    </row>
    <row r="51" customFormat="false" ht="23.25" hidden="false" customHeight="true" outlineLevel="0" collapsed="false">
      <c r="A51" s="12" t="s">
        <v>2171</v>
      </c>
      <c r="B51" s="13" t="s">
        <v>28</v>
      </c>
      <c r="C51" s="48" t="s">
        <v>2221</v>
      </c>
      <c r="D51" s="49" t="s">
        <v>2222</v>
      </c>
      <c r="E51" s="49" t="s">
        <v>77</v>
      </c>
      <c r="F51" s="49" t="s">
        <v>78</v>
      </c>
      <c r="G51" s="77" t="s">
        <v>2223</v>
      </c>
    </row>
    <row r="52" customFormat="false" ht="34.5" hidden="false" customHeight="true" outlineLevel="0" collapsed="false">
      <c r="A52" s="12" t="s">
        <v>2171</v>
      </c>
      <c r="B52" s="13" t="s">
        <v>35</v>
      </c>
      <c r="C52" s="51" t="s">
        <v>2224</v>
      </c>
      <c r="D52" s="52" t="s">
        <v>2225</v>
      </c>
      <c r="E52" s="52" t="s">
        <v>77</v>
      </c>
      <c r="F52" s="52" t="s">
        <v>78</v>
      </c>
      <c r="G52" s="78" t="s">
        <v>2226</v>
      </c>
    </row>
    <row r="53" customFormat="false" ht="13.5" hidden="false" customHeight="true" outlineLevel="0" collapsed="false"/>
    <row r="57" customFormat="false" ht="23.25" hidden="false" customHeight="true" outlineLevel="0" collapsed="false">
      <c r="A57" s="76" t="s">
        <v>45</v>
      </c>
      <c r="B57" s="46" t="s">
        <v>1</v>
      </c>
      <c r="C57" s="46" t="s">
        <v>51</v>
      </c>
      <c r="D57" s="46" t="s">
        <v>52</v>
      </c>
      <c r="E57" s="10" t="s">
        <v>53</v>
      </c>
      <c r="F57" s="46" t="s">
        <v>418</v>
      </c>
      <c r="G57" s="19" t="s">
        <v>558</v>
      </c>
      <c r="H57" s="19" t="s">
        <v>2106</v>
      </c>
      <c r="I57" s="19" t="s">
        <v>2107</v>
      </c>
      <c r="J57" s="82" t="s">
        <v>2108</v>
      </c>
      <c r="K57" s="45" t="s">
        <v>45</v>
      </c>
      <c r="L57" s="68"/>
    </row>
    <row r="58" customFormat="false" ht="34.5" hidden="false" customHeight="true" outlineLevel="0" collapsed="false">
      <c r="A58" s="69" t="s">
        <v>2227</v>
      </c>
      <c r="B58" s="13" t="s">
        <v>36</v>
      </c>
      <c r="C58" s="49" t="s">
        <v>2228</v>
      </c>
      <c r="D58" s="49" t="s">
        <v>2229</v>
      </c>
      <c r="E58" s="72" t="s">
        <v>1068</v>
      </c>
      <c r="F58" s="49" t="s">
        <v>154</v>
      </c>
      <c r="G58" s="23" t="s">
        <v>2230</v>
      </c>
      <c r="H58" s="23" t="s">
        <v>87</v>
      </c>
      <c r="I58" s="23" t="s">
        <v>2114</v>
      </c>
      <c r="J58" s="83" t="s">
        <v>2115</v>
      </c>
      <c r="K58" s="48" t="s">
        <v>2116</v>
      </c>
      <c r="L58" s="70"/>
    </row>
    <row r="59" customFormat="false" ht="34.5" hidden="false" customHeight="true" outlineLevel="0" collapsed="false">
      <c r="A59" s="69" t="s">
        <v>2227</v>
      </c>
      <c r="B59" s="13" t="s">
        <v>36</v>
      </c>
      <c r="C59" s="49" t="s">
        <v>2231</v>
      </c>
      <c r="D59" s="49" t="s">
        <v>2232</v>
      </c>
      <c r="E59" s="72" t="s">
        <v>1068</v>
      </c>
      <c r="F59" s="49" t="s">
        <v>340</v>
      </c>
      <c r="G59" s="23" t="s">
        <v>2233</v>
      </c>
      <c r="H59" s="23" t="s">
        <v>2234</v>
      </c>
      <c r="I59" s="23" t="s">
        <v>2114</v>
      </c>
      <c r="J59" s="83" t="s">
        <v>2115</v>
      </c>
      <c r="K59" s="48" t="s">
        <v>2116</v>
      </c>
      <c r="L59" s="70"/>
    </row>
    <row r="60" customFormat="false" ht="34.5" hidden="false" customHeight="true" outlineLevel="0" collapsed="false">
      <c r="A60" s="69" t="s">
        <v>2227</v>
      </c>
      <c r="B60" s="13" t="s">
        <v>36</v>
      </c>
      <c r="C60" s="49" t="s">
        <v>2235</v>
      </c>
      <c r="D60" s="49" t="s">
        <v>2236</v>
      </c>
      <c r="E60" s="72" t="s">
        <v>1068</v>
      </c>
      <c r="F60" s="49" t="s">
        <v>259</v>
      </c>
      <c r="G60" s="23" t="s">
        <v>2237</v>
      </c>
      <c r="H60" s="23" t="s">
        <v>2238</v>
      </c>
      <c r="I60" s="23" t="s">
        <v>2114</v>
      </c>
      <c r="J60" s="83" t="s">
        <v>2239</v>
      </c>
      <c r="K60" s="48" t="s">
        <v>2116</v>
      </c>
      <c r="L60" s="70"/>
    </row>
    <row r="61" customFormat="false" ht="34.5" hidden="false" customHeight="true" outlineLevel="0" collapsed="false">
      <c r="A61" s="69" t="s">
        <v>2227</v>
      </c>
      <c r="B61" s="13" t="s">
        <v>31</v>
      </c>
      <c r="C61" s="52" t="s">
        <v>2240</v>
      </c>
      <c r="D61" s="52" t="s">
        <v>2241</v>
      </c>
      <c r="E61" s="15" t="s">
        <v>1068</v>
      </c>
      <c r="F61" s="52" t="s">
        <v>261</v>
      </c>
      <c r="G61" s="27" t="s">
        <v>2242</v>
      </c>
      <c r="H61" s="27" t="s">
        <v>2243</v>
      </c>
      <c r="I61" s="27" t="s">
        <v>2114</v>
      </c>
      <c r="J61" s="84" t="s">
        <v>2239</v>
      </c>
      <c r="K61" s="48" t="s">
        <v>2116</v>
      </c>
      <c r="L61" s="70"/>
    </row>
    <row r="62" customFormat="false" ht="13.5" hidden="false" customHeight="true" outlineLevel="0" collapsed="false"/>
    <row r="65" customFormat="false" ht="23.25" hidden="false" customHeight="true" outlineLevel="0" collapsed="false">
      <c r="A65" s="76" t="s">
        <v>45</v>
      </c>
      <c r="B65" s="46" t="s">
        <v>1</v>
      </c>
      <c r="C65" s="46" t="s">
        <v>51</v>
      </c>
      <c r="D65" s="46" t="s">
        <v>52</v>
      </c>
      <c r="E65" s="10" t="s">
        <v>53</v>
      </c>
      <c r="F65" s="46" t="s">
        <v>418</v>
      </c>
      <c r="G65" s="19" t="s">
        <v>558</v>
      </c>
      <c r="H65" s="19" t="s">
        <v>2106</v>
      </c>
      <c r="I65" s="19" t="s">
        <v>2107</v>
      </c>
      <c r="J65" s="82" t="s">
        <v>2108</v>
      </c>
      <c r="K65" s="68"/>
      <c r="L65" s="68"/>
    </row>
    <row r="66" customFormat="false" ht="34.5" hidden="false" customHeight="true" outlineLevel="0" collapsed="false">
      <c r="A66" s="69" t="s">
        <v>2244</v>
      </c>
      <c r="B66" s="13" t="s">
        <v>31</v>
      </c>
      <c r="C66" s="49" t="s">
        <v>2240</v>
      </c>
      <c r="D66" s="49" t="s">
        <v>2241</v>
      </c>
      <c r="E66" s="72" t="s">
        <v>1068</v>
      </c>
      <c r="F66" s="72" t="s">
        <v>261</v>
      </c>
      <c r="G66" s="23" t="s">
        <v>2242</v>
      </c>
      <c r="H66" s="23" t="s">
        <v>2243</v>
      </c>
      <c r="I66" s="23" t="s">
        <v>2114</v>
      </c>
      <c r="J66" s="83" t="s">
        <v>2239</v>
      </c>
      <c r="K66" s="70"/>
      <c r="L66" s="70"/>
    </row>
    <row r="67" customFormat="false" ht="34.5" hidden="false" customHeight="true" outlineLevel="0" collapsed="false">
      <c r="A67" s="69" t="s">
        <v>2244</v>
      </c>
      <c r="B67" s="13" t="s">
        <v>32</v>
      </c>
      <c r="C67" s="49" t="s">
        <v>2245</v>
      </c>
      <c r="D67" s="49" t="s">
        <v>2246</v>
      </c>
      <c r="E67" s="72" t="s">
        <v>1068</v>
      </c>
      <c r="F67" s="72" t="s">
        <v>340</v>
      </c>
      <c r="G67" s="23" t="s">
        <v>2247</v>
      </c>
      <c r="H67" s="23" t="s">
        <v>2248</v>
      </c>
      <c r="I67" s="23" t="s">
        <v>2114</v>
      </c>
      <c r="J67" s="83" t="s">
        <v>2115</v>
      </c>
      <c r="K67" s="70"/>
      <c r="L67" s="70"/>
    </row>
    <row r="68" customFormat="false" ht="34.5" hidden="false" customHeight="true" outlineLevel="0" collapsed="false">
      <c r="A68" s="69" t="s">
        <v>2244</v>
      </c>
      <c r="B68" s="13" t="s">
        <v>36</v>
      </c>
      <c r="C68" s="49" t="s">
        <v>2231</v>
      </c>
      <c r="D68" s="49" t="s">
        <v>2232</v>
      </c>
      <c r="E68" s="72" t="s">
        <v>1068</v>
      </c>
      <c r="F68" s="72" t="s">
        <v>340</v>
      </c>
      <c r="G68" s="23" t="s">
        <v>2233</v>
      </c>
      <c r="H68" s="23" t="s">
        <v>2234</v>
      </c>
      <c r="I68" s="23" t="s">
        <v>2114</v>
      </c>
      <c r="J68" s="83" t="s">
        <v>2115</v>
      </c>
      <c r="K68" s="70"/>
      <c r="L68" s="70"/>
    </row>
    <row r="69" customFormat="false" ht="34.5" hidden="false" customHeight="true" outlineLevel="0" collapsed="false">
      <c r="A69" s="69" t="s">
        <v>2244</v>
      </c>
      <c r="B69" s="13" t="s">
        <v>36</v>
      </c>
      <c r="C69" s="49" t="s">
        <v>2228</v>
      </c>
      <c r="D69" s="49" t="s">
        <v>2229</v>
      </c>
      <c r="E69" s="72" t="s">
        <v>1068</v>
      </c>
      <c r="F69" s="72" t="s">
        <v>154</v>
      </c>
      <c r="G69" s="23" t="s">
        <v>2230</v>
      </c>
      <c r="H69" s="23" t="s">
        <v>87</v>
      </c>
      <c r="I69" s="23" t="s">
        <v>2114</v>
      </c>
      <c r="J69" s="83" t="s">
        <v>2115</v>
      </c>
      <c r="K69" s="70"/>
      <c r="L69" s="70"/>
    </row>
    <row r="70" customFormat="false" ht="34.5" hidden="false" customHeight="true" outlineLevel="0" collapsed="false">
      <c r="A70" s="69" t="s">
        <v>2244</v>
      </c>
      <c r="B70" s="13" t="s">
        <v>32</v>
      </c>
      <c r="C70" s="49" t="s">
        <v>1778</v>
      </c>
      <c r="D70" s="49" t="s">
        <v>1779</v>
      </c>
      <c r="E70" s="72" t="s">
        <v>1068</v>
      </c>
      <c r="F70" s="72" t="s">
        <v>277</v>
      </c>
      <c r="G70" s="23" t="s">
        <v>2249</v>
      </c>
      <c r="H70" s="23" t="s">
        <v>1775</v>
      </c>
      <c r="I70" s="23" t="s">
        <v>2114</v>
      </c>
      <c r="J70" s="83" t="s">
        <v>2115</v>
      </c>
      <c r="K70" s="70"/>
      <c r="L70" s="70"/>
    </row>
    <row r="71" customFormat="false" ht="34.5" hidden="false" customHeight="true" outlineLevel="0" collapsed="false">
      <c r="A71" s="69" t="s">
        <v>2244</v>
      </c>
      <c r="B71" s="13" t="s">
        <v>32</v>
      </c>
      <c r="C71" s="49" t="s">
        <v>2250</v>
      </c>
      <c r="D71" s="49" t="s">
        <v>2251</v>
      </c>
      <c r="E71" s="72" t="s">
        <v>1068</v>
      </c>
      <c r="F71" s="72" t="s">
        <v>267</v>
      </c>
      <c r="G71" s="23" t="s">
        <v>2252</v>
      </c>
      <c r="H71" s="23" t="s">
        <v>2253</v>
      </c>
      <c r="I71" s="23" t="s">
        <v>2114</v>
      </c>
      <c r="J71" s="83" t="s">
        <v>2239</v>
      </c>
      <c r="K71" s="70"/>
      <c r="L71" s="70"/>
    </row>
    <row r="72" customFormat="false" ht="34.5" hidden="false" customHeight="true" outlineLevel="0" collapsed="false">
      <c r="A72" s="69" t="s">
        <v>2244</v>
      </c>
      <c r="B72" s="13" t="s">
        <v>26</v>
      </c>
      <c r="C72" s="49" t="s">
        <v>2254</v>
      </c>
      <c r="D72" s="49" t="s">
        <v>2255</v>
      </c>
      <c r="E72" s="72" t="s">
        <v>2256</v>
      </c>
      <c r="F72" s="72" t="s">
        <v>1104</v>
      </c>
      <c r="G72" s="23" t="s">
        <v>2257</v>
      </c>
      <c r="H72" s="23" t="s">
        <v>1869</v>
      </c>
      <c r="I72" s="23" t="s">
        <v>2114</v>
      </c>
      <c r="J72" s="83" t="s">
        <v>2239</v>
      </c>
      <c r="K72" s="70"/>
      <c r="L72" s="70"/>
    </row>
    <row r="73" customFormat="false" ht="34.5" hidden="false" customHeight="true" outlineLevel="0" collapsed="false">
      <c r="A73" s="69" t="s">
        <v>2244</v>
      </c>
      <c r="B73" s="13" t="s">
        <v>26</v>
      </c>
      <c r="C73" s="49" t="s">
        <v>2254</v>
      </c>
      <c r="D73" s="49" t="s">
        <v>2255</v>
      </c>
      <c r="E73" s="72" t="s">
        <v>2256</v>
      </c>
      <c r="F73" s="72" t="s">
        <v>1072</v>
      </c>
      <c r="G73" s="23" t="s">
        <v>2258</v>
      </c>
      <c r="H73" s="23" t="s">
        <v>1869</v>
      </c>
      <c r="I73" s="23" t="s">
        <v>2114</v>
      </c>
      <c r="J73" s="83" t="s">
        <v>2239</v>
      </c>
      <c r="K73" s="70"/>
      <c r="L73" s="70"/>
    </row>
    <row r="74" customFormat="false" ht="34.5" hidden="false" customHeight="true" outlineLevel="0" collapsed="false">
      <c r="A74" s="69" t="s">
        <v>2244</v>
      </c>
      <c r="B74" s="13" t="s">
        <v>26</v>
      </c>
      <c r="C74" s="49" t="s">
        <v>2254</v>
      </c>
      <c r="D74" s="49" t="s">
        <v>2255</v>
      </c>
      <c r="E74" s="72" t="s">
        <v>2256</v>
      </c>
      <c r="F74" s="72" t="s">
        <v>1074</v>
      </c>
      <c r="G74" s="23" t="s">
        <v>2259</v>
      </c>
      <c r="H74" s="23" t="s">
        <v>1869</v>
      </c>
      <c r="I74" s="23" t="s">
        <v>2114</v>
      </c>
      <c r="J74" s="83" t="s">
        <v>2239</v>
      </c>
      <c r="K74" s="70"/>
      <c r="L74" s="70"/>
    </row>
    <row r="75" customFormat="false" ht="34.5" hidden="false" customHeight="true" outlineLevel="0" collapsed="false">
      <c r="A75" s="69" t="s">
        <v>2244</v>
      </c>
      <c r="B75" s="13" t="s">
        <v>36</v>
      </c>
      <c r="C75" s="52" t="s">
        <v>2235</v>
      </c>
      <c r="D75" s="52" t="s">
        <v>2236</v>
      </c>
      <c r="E75" s="15" t="s">
        <v>1068</v>
      </c>
      <c r="F75" s="15" t="s">
        <v>259</v>
      </c>
      <c r="G75" s="27" t="s">
        <v>2237</v>
      </c>
      <c r="H75" s="27" t="s">
        <v>2238</v>
      </c>
      <c r="I75" s="27" t="s">
        <v>2114</v>
      </c>
      <c r="J75" s="84" t="s">
        <v>2239</v>
      </c>
      <c r="K75" s="70"/>
      <c r="L75" s="7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2026-09-02T21:58:56Z</dcterms:created>
  <dc:creator>Windows User</dc:creator>
  <dc:description/>
  <dc:language>tr-TR</dc:language>
  <cp:lastModifiedBy/>
  <dcterms:modified xsi:type="dcterms:W3CDTF">2026-10-08T13:31:09Z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